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J:\files\c\enigma\documents\"/>
    </mc:Choice>
  </mc:AlternateContent>
  <bookViews>
    <workbookView xWindow="0" yWindow="0" windowWidth="14400" windowHeight="10860" tabRatio="835" activeTab="6"/>
  </bookViews>
  <sheets>
    <sheet name="Data" sheetId="1" r:id="rId1"/>
    <sheet name="Decode time - i5-12500H" sheetId="5" r:id="rId2"/>
    <sheet name="Decode time - i5-9600k" sheetId="8" r:id="rId3"/>
    <sheet name="Decode time - N100" sheetId="2" r:id="rId4"/>
    <sheet name="Processors" sheetId="4" r:id="rId5"/>
    <sheet name="Decode threading" sheetId="10" r:id="rId6"/>
    <sheet name="Decodes_s" sheetId="3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9" i="1" l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67" i="1"/>
  <c r="I67" i="1" s="1"/>
  <c r="H68" i="1" s="1"/>
  <c r="I68" i="1" s="1"/>
  <c r="I66" i="1"/>
  <c r="H66" i="1"/>
  <c r="I65" i="1"/>
  <c r="H65" i="1"/>
  <c r="V67" i="1"/>
  <c r="U67" i="1"/>
  <c r="U65" i="1"/>
  <c r="K65" i="1"/>
  <c r="K66" i="1"/>
  <c r="J78" i="1"/>
  <c r="J92" i="1"/>
  <c r="J86" i="1"/>
  <c r="L95" i="1"/>
  <c r="L83" i="1"/>
  <c r="L91" i="1"/>
  <c r="L85" i="1"/>
  <c r="L78" i="1"/>
  <c r="J81" i="1"/>
  <c r="J68" i="1"/>
  <c r="L90" i="1"/>
  <c r="L96" i="1"/>
  <c r="J95" i="1"/>
  <c r="J75" i="1"/>
  <c r="L81" i="1"/>
  <c r="J70" i="1"/>
  <c r="J65" i="1"/>
  <c r="L68" i="1"/>
  <c r="L75" i="1"/>
  <c r="L70" i="1"/>
  <c r="J89" i="1"/>
  <c r="J82" i="1"/>
  <c r="L87" i="1"/>
  <c r="L80" i="1"/>
  <c r="J72" i="1"/>
  <c r="L73" i="1"/>
  <c r="J93" i="1"/>
  <c r="L77" i="1"/>
  <c r="L76" i="1"/>
  <c r="L94" i="1"/>
  <c r="J91" i="1"/>
  <c r="J67" i="1"/>
  <c r="J66" i="1"/>
  <c r="L84" i="1"/>
  <c r="L93" i="1"/>
  <c r="L79" i="1"/>
  <c r="J85" i="1"/>
  <c r="J84" i="1"/>
  <c r="L72" i="1"/>
  <c r="L88" i="1"/>
  <c r="L92" i="1"/>
  <c r="L86" i="1"/>
  <c r="L74" i="1"/>
  <c r="J80" i="1"/>
  <c r="J71" i="1"/>
  <c r="L89" i="1"/>
  <c r="J90" i="1"/>
  <c r="J94" i="1"/>
  <c r="J96" i="1"/>
  <c r="L65" i="1"/>
  <c r="J83" i="1"/>
  <c r="L71" i="1"/>
  <c r="J73" i="1"/>
  <c r="J79" i="1"/>
  <c r="J74" i="1"/>
  <c r="L67" i="1"/>
  <c r="L66" i="1"/>
  <c r="J76" i="1"/>
  <c r="L82" i="1"/>
  <c r="L69" i="1"/>
  <c r="J88" i="1"/>
  <c r="J77" i="1"/>
  <c r="J87" i="1"/>
  <c r="J69" i="1"/>
</calcChain>
</file>

<file path=xl/sharedStrings.xml><?xml version="1.0" encoding="utf-8"?>
<sst xmlns="http://schemas.openxmlformats.org/spreadsheetml/2006/main" count="72" uniqueCount="24">
  <si>
    <t>Processor</t>
  </si>
  <si>
    <t>Encode/Decode</t>
  </si>
  <si>
    <t>text size</t>
  </si>
  <si>
    <t xml:space="preserve"> encodes</t>
  </si>
  <si>
    <t xml:space="preserve"> elapsed time (ms)</t>
  </si>
  <si>
    <t xml:space="preserve"> rate (/s)</t>
  </si>
  <si>
    <t>Configure, encode/decode</t>
  </si>
  <si>
    <t xml:space="preserve"> time/decode (us)</t>
  </si>
  <si>
    <t>Configure, encode/decode, IoC</t>
  </si>
  <si>
    <t>N100</t>
  </si>
  <si>
    <t>Linux</t>
  </si>
  <si>
    <t>Windows 10</t>
  </si>
  <si>
    <t>Windows 11</t>
  </si>
  <si>
    <t>I5-9600K @ 3.7 GHz, 3696 MHz, 6 cores, 6 logical processors</t>
  </si>
  <si>
    <t>12th Gen Intel(R) Core(TM) i5-12500H, 2500MHz, 12 cores, 16 logical processors</t>
  </si>
  <si>
    <t>Multithreading</t>
  </si>
  <si>
    <t>ENCODE/DECODE</t>
  </si>
  <si>
    <t>threads</t>
  </si>
  <si>
    <t>Threads</t>
  </si>
  <si>
    <t>average</t>
  </si>
  <si>
    <t>time/decode (us)</t>
  </si>
  <si>
    <t>std. dev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</si>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</sst>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alcChain" Target="calcChain.xml"/><Relationship Id="rId5" Type="http://schemas.openxmlformats.org/officeDocument/2006/relationships/chartsheet" Target="chart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Time</a:t>
            </a:r>
            <a:r>
              <a:rPr lang="nl-NL" baseline="0"/>
              <a:t> per encode/decode (Intel Core i5-12500H processor)</a:t>
            </a:r>
            <a:endParaRPr lang="nl-NL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Data!$P$5:$P$19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Data!$T$5:$T$19</c:f>
              <c:numCache>
                <c:formatCode>General</c:formatCode>
                <c:ptCount val="15"/>
                <c:pt idx="0">
                  <c:v>2.5000000000000001E-2</c:v>
                </c:pt>
                <c:pt idx="1">
                  <c:v>0.06</c:v>
                </c:pt>
                <c:pt idx="2">
                  <c:v>0.12</c:v>
                </c:pt>
                <c:pt idx="3">
                  <c:v>0.14399999999999999</c:v>
                </c:pt>
                <c:pt idx="4">
                  <c:v>0.30099999999999999</c:v>
                </c:pt>
                <c:pt idx="5">
                  <c:v>0.60399999999999998</c:v>
                </c:pt>
                <c:pt idx="6">
                  <c:v>0.89900000000000002</c:v>
                </c:pt>
                <c:pt idx="7">
                  <c:v>1.1990000000000001</c:v>
                </c:pt>
                <c:pt idx="8">
                  <c:v>1.5</c:v>
                </c:pt>
                <c:pt idx="9">
                  <c:v>1.8</c:v>
                </c:pt>
                <c:pt idx="10">
                  <c:v>2.4060000000000001</c:v>
                </c:pt>
                <c:pt idx="11">
                  <c:v>4.8079999999999998</c:v>
                </c:pt>
                <c:pt idx="12">
                  <c:v>7.17</c:v>
                </c:pt>
                <c:pt idx="13">
                  <c:v>9.7119999999999997</c:v>
                </c:pt>
                <c:pt idx="14">
                  <c:v>12.260999999999999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Data!$P$23:$P$37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Data!$T$23:$T$37</c:f>
              <c:numCache>
                <c:formatCode>General</c:formatCode>
                <c:ptCount val="15"/>
                <c:pt idx="0">
                  <c:v>0.182</c:v>
                </c:pt>
                <c:pt idx="1">
                  <c:v>0.223</c:v>
                </c:pt>
                <c:pt idx="2">
                  <c:v>0.28599999999999998</c:v>
                </c:pt>
                <c:pt idx="3">
                  <c:v>0.311</c:v>
                </c:pt>
                <c:pt idx="4">
                  <c:v>0.48499999999999999</c:v>
                </c:pt>
                <c:pt idx="5">
                  <c:v>0.82</c:v>
                </c:pt>
                <c:pt idx="6">
                  <c:v>1.17</c:v>
                </c:pt>
                <c:pt idx="7">
                  <c:v>1.51</c:v>
                </c:pt>
                <c:pt idx="8">
                  <c:v>1.8240000000000001</c:v>
                </c:pt>
                <c:pt idx="9">
                  <c:v>2.157</c:v>
                </c:pt>
                <c:pt idx="10">
                  <c:v>2.827</c:v>
                </c:pt>
                <c:pt idx="11">
                  <c:v>5.4589999999999996</c:v>
                </c:pt>
                <c:pt idx="12">
                  <c:v>8.07</c:v>
                </c:pt>
                <c:pt idx="13">
                  <c:v>10.813000000000001</c:v>
                </c:pt>
                <c:pt idx="14">
                  <c:v>13.394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Data!$P$42:$P$56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Data!$T$42:$T$56</c:f>
              <c:numCache>
                <c:formatCode>General</c:formatCode>
                <c:ptCount val="15"/>
                <c:pt idx="0">
                  <c:v>0.21099999999999999</c:v>
                </c:pt>
                <c:pt idx="1">
                  <c:v>0.251</c:v>
                </c:pt>
                <c:pt idx="2">
                  <c:v>0.32</c:v>
                </c:pt>
                <c:pt idx="3">
                  <c:v>0.33900000000000002</c:v>
                </c:pt>
                <c:pt idx="4">
                  <c:v>0.52500000000000002</c:v>
                </c:pt>
                <c:pt idx="5">
                  <c:v>0.86</c:v>
                </c:pt>
                <c:pt idx="6">
                  <c:v>1.222</c:v>
                </c:pt>
                <c:pt idx="7">
                  <c:v>1.5569999999999999</c:v>
                </c:pt>
                <c:pt idx="8">
                  <c:v>1.881</c:v>
                </c:pt>
                <c:pt idx="9">
                  <c:v>2.2389999999999999</c:v>
                </c:pt>
                <c:pt idx="10">
                  <c:v>2.899</c:v>
                </c:pt>
                <c:pt idx="11">
                  <c:v>6.0350000000000001</c:v>
                </c:pt>
                <c:pt idx="12">
                  <c:v>10.071999999999999</c:v>
                </c:pt>
                <c:pt idx="13">
                  <c:v>11.553000000000001</c:v>
                </c:pt>
                <c:pt idx="14">
                  <c:v>13.856999999999999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1673520"/>
        <c:axId val="1281677328"/>
      </c:scatterChart>
      <c:valAx>
        <c:axId val="1281673520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Characters in cipher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7328"/>
        <c:crosses val="autoZero"/>
        <c:crossBetween val="midCat"/>
      </c:valAx>
      <c:valAx>
        <c:axId val="1281677328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3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Time</a:t>
            </a:r>
            <a:r>
              <a:rPr lang="nl-NL" baseline="0"/>
              <a:t> per encode/decode (Intel Core i5-9600K processor)</a:t>
            </a:r>
            <a:endParaRPr lang="nl-NL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Data!$H$5:$H$19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Data!$L$5:$L$19</c:f>
              <c:numCache>
                <c:formatCode>General</c:formatCode>
                <c:ptCount val="15"/>
                <c:pt idx="0">
                  <c:v>3.4000000000000002E-2</c:v>
                </c:pt>
                <c:pt idx="1">
                  <c:v>8.4000000000000005E-2</c:v>
                </c:pt>
                <c:pt idx="2">
                  <c:v>0.16900000000000001</c:v>
                </c:pt>
                <c:pt idx="3">
                  <c:v>0.20300000000000001</c:v>
                </c:pt>
                <c:pt idx="4">
                  <c:v>0.41599999999999998</c:v>
                </c:pt>
                <c:pt idx="5">
                  <c:v>0.83</c:v>
                </c:pt>
                <c:pt idx="6">
                  <c:v>1.248</c:v>
                </c:pt>
                <c:pt idx="7">
                  <c:v>1.681</c:v>
                </c:pt>
                <c:pt idx="8">
                  <c:v>2.0859999999999999</c:v>
                </c:pt>
                <c:pt idx="9">
                  <c:v>2.492</c:v>
                </c:pt>
                <c:pt idx="10">
                  <c:v>3.343</c:v>
                </c:pt>
                <c:pt idx="11">
                  <c:v>6.6890000000000001</c:v>
                </c:pt>
                <c:pt idx="12">
                  <c:v>10.086</c:v>
                </c:pt>
                <c:pt idx="13">
                  <c:v>13.457000000000001</c:v>
                </c:pt>
                <c:pt idx="14">
                  <c:v>16.713000000000001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Data!$H$23:$H$37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Data!$L$23:$L$37</c:f>
              <c:numCache>
                <c:formatCode>General</c:formatCode>
                <c:ptCount val="15"/>
                <c:pt idx="0">
                  <c:v>0.21099999999999999</c:v>
                </c:pt>
                <c:pt idx="1">
                  <c:v>0.26100000000000001</c:v>
                </c:pt>
                <c:pt idx="2">
                  <c:v>0.35399999999999998</c:v>
                </c:pt>
                <c:pt idx="3">
                  <c:v>0.39</c:v>
                </c:pt>
                <c:pt idx="4">
                  <c:v>0.60899999999999999</c:v>
                </c:pt>
                <c:pt idx="5">
                  <c:v>1.046</c:v>
                </c:pt>
                <c:pt idx="6">
                  <c:v>1.4890000000000001</c:v>
                </c:pt>
                <c:pt idx="7">
                  <c:v>1.893</c:v>
                </c:pt>
                <c:pt idx="8">
                  <c:v>2.3239999999999998</c:v>
                </c:pt>
                <c:pt idx="9">
                  <c:v>2.746</c:v>
                </c:pt>
                <c:pt idx="10">
                  <c:v>3.5510000000000002</c:v>
                </c:pt>
                <c:pt idx="11">
                  <c:v>6.9290000000000003</c:v>
                </c:pt>
                <c:pt idx="12">
                  <c:v>10.4</c:v>
                </c:pt>
                <c:pt idx="13">
                  <c:v>13.741</c:v>
                </c:pt>
                <c:pt idx="14">
                  <c:v>17.021000000000001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Data!$H$42:$H$56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Data!$L$42:$L$56</c:f>
              <c:numCache>
                <c:formatCode>General</c:formatCode>
                <c:ptCount val="15"/>
                <c:pt idx="0">
                  <c:v>0.249</c:v>
                </c:pt>
                <c:pt idx="1">
                  <c:v>0.30099999999999999</c:v>
                </c:pt>
                <c:pt idx="2">
                  <c:v>0.38100000000000001</c:v>
                </c:pt>
                <c:pt idx="3">
                  <c:v>0.42</c:v>
                </c:pt>
                <c:pt idx="4">
                  <c:v>0.65</c:v>
                </c:pt>
                <c:pt idx="5">
                  <c:v>1.1020000000000001</c:v>
                </c:pt>
                <c:pt idx="6">
                  <c:v>1.552</c:v>
                </c:pt>
                <c:pt idx="7">
                  <c:v>1.9730000000000001</c:v>
                </c:pt>
                <c:pt idx="8">
                  <c:v>2.39</c:v>
                </c:pt>
                <c:pt idx="9">
                  <c:v>2.8069999999999999</c:v>
                </c:pt>
                <c:pt idx="10">
                  <c:v>3.6850000000000001</c:v>
                </c:pt>
                <c:pt idx="11">
                  <c:v>7.1040000000000001</c:v>
                </c:pt>
                <c:pt idx="12">
                  <c:v>10.596</c:v>
                </c:pt>
                <c:pt idx="13">
                  <c:v>14.157999999999999</c:v>
                </c:pt>
                <c:pt idx="14">
                  <c:v>17.596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1678960"/>
        <c:axId val="1281679504"/>
      </c:scatterChart>
      <c:valAx>
        <c:axId val="1281678960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Characters in cipher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9504"/>
        <c:crosses val="autoZero"/>
        <c:crossBetween val="midCat"/>
      </c:valAx>
      <c:valAx>
        <c:axId val="1281679504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Time per encode/decode (N100 processor)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Data!$A$5:$A$19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Data!$E$5:$E$19</c:f>
              <c:numCache>
                <c:formatCode>General</c:formatCode>
                <c:ptCount val="15"/>
                <c:pt idx="0">
                  <c:v>4.2999999999999997E-2</c:v>
                </c:pt>
                <c:pt idx="1">
                  <c:v>0.107</c:v>
                </c:pt>
                <c:pt idx="2">
                  <c:v>0.218</c:v>
                </c:pt>
                <c:pt idx="3">
                  <c:v>0.26100000000000001</c:v>
                </c:pt>
                <c:pt idx="4">
                  <c:v>0.53300000000000003</c:v>
                </c:pt>
                <c:pt idx="5">
                  <c:v>1.06</c:v>
                </c:pt>
                <c:pt idx="6">
                  <c:v>1.589</c:v>
                </c:pt>
                <c:pt idx="7">
                  <c:v>2.2189999999999999</c:v>
                </c:pt>
                <c:pt idx="8">
                  <c:v>2.7850000000000001</c:v>
                </c:pt>
                <c:pt idx="9">
                  <c:v>3.3109999999999999</c:v>
                </c:pt>
                <c:pt idx="10">
                  <c:v>4.423</c:v>
                </c:pt>
                <c:pt idx="11">
                  <c:v>8.8529999999999998</c:v>
                </c:pt>
                <c:pt idx="12">
                  <c:v>13.359</c:v>
                </c:pt>
                <c:pt idx="13">
                  <c:v>17.823</c:v>
                </c:pt>
                <c:pt idx="14">
                  <c:v>22.335999999999999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Data!$A$23:$A$37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Data!$E$23:$E$37</c:f>
              <c:numCache>
                <c:formatCode>General</c:formatCode>
                <c:ptCount val="15"/>
                <c:pt idx="0">
                  <c:v>0.25800000000000001</c:v>
                </c:pt>
                <c:pt idx="1">
                  <c:v>0.32700000000000001</c:v>
                </c:pt>
                <c:pt idx="2">
                  <c:v>0.44400000000000001</c:v>
                </c:pt>
                <c:pt idx="3">
                  <c:v>0.48599999999999999</c:v>
                </c:pt>
                <c:pt idx="4">
                  <c:v>0.78400000000000003</c:v>
                </c:pt>
                <c:pt idx="5">
                  <c:v>1.363</c:v>
                </c:pt>
                <c:pt idx="6">
                  <c:v>1.9370000000000001</c:v>
                </c:pt>
                <c:pt idx="7">
                  <c:v>2.5259999999999998</c:v>
                </c:pt>
                <c:pt idx="8">
                  <c:v>3.1</c:v>
                </c:pt>
                <c:pt idx="9">
                  <c:v>3.6640000000000001</c:v>
                </c:pt>
                <c:pt idx="10">
                  <c:v>4.8289999999999997</c:v>
                </c:pt>
                <c:pt idx="11">
                  <c:v>9.359</c:v>
                </c:pt>
                <c:pt idx="12">
                  <c:v>13.929</c:v>
                </c:pt>
                <c:pt idx="13">
                  <c:v>18.571999999999999</c:v>
                </c:pt>
                <c:pt idx="14">
                  <c:v>23.119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Data!$A$42:$A$56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Data!$E$42:$E$56</c:f>
              <c:numCache>
                <c:formatCode>General</c:formatCode>
                <c:ptCount val="15"/>
                <c:pt idx="0">
                  <c:v>0.29399999999999998</c:v>
                </c:pt>
                <c:pt idx="1">
                  <c:v>0.35699999999999998</c:v>
                </c:pt>
                <c:pt idx="2">
                  <c:v>0.46899999999999997</c:v>
                </c:pt>
                <c:pt idx="3">
                  <c:v>0.51500000000000001</c:v>
                </c:pt>
                <c:pt idx="4">
                  <c:v>0.83099999999999996</c:v>
                </c:pt>
                <c:pt idx="5">
                  <c:v>1.42</c:v>
                </c:pt>
                <c:pt idx="6">
                  <c:v>2.0169999999999999</c:v>
                </c:pt>
                <c:pt idx="7">
                  <c:v>2.609</c:v>
                </c:pt>
                <c:pt idx="8">
                  <c:v>3.2090000000000001</c:v>
                </c:pt>
                <c:pt idx="9">
                  <c:v>3.7709999999999999</c:v>
                </c:pt>
                <c:pt idx="10">
                  <c:v>4.9180000000000001</c:v>
                </c:pt>
                <c:pt idx="11">
                  <c:v>9.6229999999999993</c:v>
                </c:pt>
                <c:pt idx="12">
                  <c:v>14.279</c:v>
                </c:pt>
                <c:pt idx="13">
                  <c:v>19.021999999999998</c:v>
                </c:pt>
                <c:pt idx="14">
                  <c:v>23.654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1670256"/>
        <c:axId val="1281675152"/>
      </c:scatterChart>
      <c:valAx>
        <c:axId val="1281670256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Characters in cipher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5152"/>
        <c:crosses val="autoZero"/>
        <c:crossBetween val="midCat"/>
      </c:valAx>
      <c:valAx>
        <c:axId val="128167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02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Processors compared - encode/decode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Intel N100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Data!$A$5:$A$19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Data!$E$5:$E$19</c:f>
              <c:numCache>
                <c:formatCode>General</c:formatCode>
                <c:ptCount val="15"/>
                <c:pt idx="0">
                  <c:v>4.2999999999999997E-2</c:v>
                </c:pt>
                <c:pt idx="1">
                  <c:v>0.107</c:v>
                </c:pt>
                <c:pt idx="2">
                  <c:v>0.218</c:v>
                </c:pt>
                <c:pt idx="3">
                  <c:v>0.26100000000000001</c:v>
                </c:pt>
                <c:pt idx="4">
                  <c:v>0.53300000000000003</c:v>
                </c:pt>
                <c:pt idx="5">
                  <c:v>1.06</c:v>
                </c:pt>
                <c:pt idx="6">
                  <c:v>1.589</c:v>
                </c:pt>
                <c:pt idx="7">
                  <c:v>2.2189999999999999</c:v>
                </c:pt>
                <c:pt idx="8">
                  <c:v>2.7850000000000001</c:v>
                </c:pt>
                <c:pt idx="9">
                  <c:v>3.3109999999999999</c:v>
                </c:pt>
                <c:pt idx="10">
                  <c:v>4.423</c:v>
                </c:pt>
                <c:pt idx="11">
                  <c:v>8.8529999999999998</c:v>
                </c:pt>
                <c:pt idx="12">
                  <c:v>13.359</c:v>
                </c:pt>
                <c:pt idx="13">
                  <c:v>17.823</c:v>
                </c:pt>
                <c:pt idx="14">
                  <c:v>22.335999999999999</c:v>
                </c:pt>
              </c:numCache>
            </c:numRef>
          </c:yVal>
          <c:smooth val="0"/>
        </c:ser>
        <c:ser>
          <c:idx val="2"/>
          <c:order val="1"/>
          <c:tx>
            <c:v>I5-9600K @ 3696 MHz, 6 cores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Data!$H$5:$H$19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Data!$L$5:$L$19</c:f>
              <c:numCache>
                <c:formatCode>General</c:formatCode>
                <c:ptCount val="15"/>
                <c:pt idx="0">
                  <c:v>3.4000000000000002E-2</c:v>
                </c:pt>
                <c:pt idx="1">
                  <c:v>8.4000000000000005E-2</c:v>
                </c:pt>
                <c:pt idx="2">
                  <c:v>0.16900000000000001</c:v>
                </c:pt>
                <c:pt idx="3">
                  <c:v>0.20300000000000001</c:v>
                </c:pt>
                <c:pt idx="4">
                  <c:v>0.41599999999999998</c:v>
                </c:pt>
                <c:pt idx="5">
                  <c:v>0.83</c:v>
                </c:pt>
                <c:pt idx="6">
                  <c:v>1.248</c:v>
                </c:pt>
                <c:pt idx="7">
                  <c:v>1.681</c:v>
                </c:pt>
                <c:pt idx="8">
                  <c:v>2.0859999999999999</c:v>
                </c:pt>
                <c:pt idx="9">
                  <c:v>2.492</c:v>
                </c:pt>
                <c:pt idx="10">
                  <c:v>3.343</c:v>
                </c:pt>
                <c:pt idx="11">
                  <c:v>6.6890000000000001</c:v>
                </c:pt>
                <c:pt idx="12">
                  <c:v>10.086</c:v>
                </c:pt>
                <c:pt idx="13">
                  <c:v>13.457000000000001</c:v>
                </c:pt>
                <c:pt idx="14">
                  <c:v>16.713000000000001</c:v>
                </c:pt>
              </c:numCache>
            </c:numRef>
          </c:yVal>
          <c:smooth val="0"/>
        </c:ser>
        <c:ser>
          <c:idx val="1"/>
          <c:order val="2"/>
          <c:tx>
            <c:v>i5-12500H, 2500MHz, 12 cores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Data!$P$5:$P$19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Data!$T$5:$T$19</c:f>
              <c:numCache>
                <c:formatCode>General</c:formatCode>
                <c:ptCount val="15"/>
                <c:pt idx="0">
                  <c:v>2.5000000000000001E-2</c:v>
                </c:pt>
                <c:pt idx="1">
                  <c:v>0.06</c:v>
                </c:pt>
                <c:pt idx="2">
                  <c:v>0.12</c:v>
                </c:pt>
                <c:pt idx="3">
                  <c:v>0.14399999999999999</c:v>
                </c:pt>
                <c:pt idx="4">
                  <c:v>0.30099999999999999</c:v>
                </c:pt>
                <c:pt idx="5">
                  <c:v>0.60399999999999998</c:v>
                </c:pt>
                <c:pt idx="6">
                  <c:v>0.89900000000000002</c:v>
                </c:pt>
                <c:pt idx="7">
                  <c:v>1.1990000000000001</c:v>
                </c:pt>
                <c:pt idx="8">
                  <c:v>1.5</c:v>
                </c:pt>
                <c:pt idx="9">
                  <c:v>1.8</c:v>
                </c:pt>
                <c:pt idx="10">
                  <c:v>2.4060000000000001</c:v>
                </c:pt>
                <c:pt idx="11">
                  <c:v>4.8079999999999998</c:v>
                </c:pt>
                <c:pt idx="12">
                  <c:v>7.17</c:v>
                </c:pt>
                <c:pt idx="13">
                  <c:v>9.7119999999999997</c:v>
                </c:pt>
                <c:pt idx="14">
                  <c:v>12.260999999999999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1672432"/>
        <c:axId val="1100634768"/>
      </c:scatterChart>
      <c:valAx>
        <c:axId val="1281672432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Cipher size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0634768"/>
        <c:crosses val="autoZero"/>
        <c:crossBetween val="midCat"/>
      </c:valAx>
      <c:valAx>
        <c:axId val="110063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81672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Encode/decodes with multi threading (1000 character cipher, i5-12500H)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Data!$G$65:$G$96</c:f>
              <c:numCache>
                <c:formatCode>General</c:formatCod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</c:numCache>
            </c:numRef>
          </c:xVal>
          <c:yVal>
            <c:numRef>
              <c:f>Data!$L$65:$L$96</c:f>
              <c:numCache>
                <c:formatCode>General</c:formatCode>
                <c:ptCount val="32"/>
                <c:pt idx="0">
                  <c:v>82149</c:v>
                </c:pt>
                <c:pt idx="1">
                  <c:v>166045</c:v>
                </c:pt>
                <c:pt idx="2">
                  <c:v>242281</c:v>
                </c:pt>
                <c:pt idx="3">
                  <c:v>308526</c:v>
                </c:pt>
                <c:pt idx="4">
                  <c:v>340120</c:v>
                </c:pt>
                <c:pt idx="5">
                  <c:v>371562</c:v>
                </c:pt>
                <c:pt idx="6">
                  <c:v>405633</c:v>
                </c:pt>
                <c:pt idx="7">
                  <c:v>436074</c:v>
                </c:pt>
                <c:pt idx="8">
                  <c:v>462511</c:v>
                </c:pt>
                <c:pt idx="9">
                  <c:v>494790</c:v>
                </c:pt>
                <c:pt idx="10">
                  <c:v>510445</c:v>
                </c:pt>
                <c:pt idx="11">
                  <c:v>521803</c:v>
                </c:pt>
                <c:pt idx="12">
                  <c:v>529396</c:v>
                </c:pt>
                <c:pt idx="13">
                  <c:v>537149</c:v>
                </c:pt>
                <c:pt idx="14">
                  <c:v>562252</c:v>
                </c:pt>
                <c:pt idx="15">
                  <c:v>569454</c:v>
                </c:pt>
                <c:pt idx="16">
                  <c:v>578239</c:v>
                </c:pt>
                <c:pt idx="17">
                  <c:v>584175</c:v>
                </c:pt>
                <c:pt idx="18">
                  <c:v>594255</c:v>
                </c:pt>
                <c:pt idx="19">
                  <c:v>585800</c:v>
                </c:pt>
                <c:pt idx="20">
                  <c:v>607907</c:v>
                </c:pt>
                <c:pt idx="21">
                  <c:v>581039</c:v>
                </c:pt>
                <c:pt idx="22">
                  <c:v>547460</c:v>
                </c:pt>
                <c:pt idx="23">
                  <c:v>566602</c:v>
                </c:pt>
                <c:pt idx="24">
                  <c:v>596038</c:v>
                </c:pt>
                <c:pt idx="25">
                  <c:v>593042</c:v>
                </c:pt>
                <c:pt idx="26">
                  <c:v>588443</c:v>
                </c:pt>
                <c:pt idx="27">
                  <c:v>555925</c:v>
                </c:pt>
                <c:pt idx="28">
                  <c:v>539608</c:v>
                </c:pt>
                <c:pt idx="29">
                  <c:v>537250</c:v>
                </c:pt>
                <c:pt idx="30">
                  <c:v>567601</c:v>
                </c:pt>
                <c:pt idx="31">
                  <c:v>533610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630960"/>
        <c:axId val="1100639120"/>
      </c:scatterChart>
      <c:valAx>
        <c:axId val="1100630960"/>
        <c:scaling>
          <c:orientation val="minMax"/>
          <c:max val="32"/>
          <c:min val="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threads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0639120"/>
        <c:crosses val="autoZero"/>
        <c:crossBetween val="midCat"/>
      </c:valAx>
      <c:valAx>
        <c:axId val="11006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number of encodes/decodes per second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063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Decodes/s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Data!$A$5:$A$19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Data!$D$5:$D$19</c:f>
              <c:numCache>
                <c:formatCode>General</c:formatCode>
                <c:ptCount val="15"/>
                <c:pt idx="0">
                  <c:v>2339756</c:v>
                </c:pt>
                <c:pt idx="1">
                  <c:v>937043</c:v>
                </c:pt>
                <c:pt idx="2">
                  <c:v>459543</c:v>
                </c:pt>
                <c:pt idx="3">
                  <c:v>383378</c:v>
                </c:pt>
                <c:pt idx="4">
                  <c:v>187539</c:v>
                </c:pt>
                <c:pt idx="5">
                  <c:v>94326</c:v>
                </c:pt>
                <c:pt idx="6">
                  <c:v>62943</c:v>
                </c:pt>
                <c:pt idx="7">
                  <c:v>45067</c:v>
                </c:pt>
                <c:pt idx="8">
                  <c:v>35906</c:v>
                </c:pt>
                <c:pt idx="9">
                  <c:v>30203</c:v>
                </c:pt>
                <c:pt idx="10">
                  <c:v>22611</c:v>
                </c:pt>
                <c:pt idx="11">
                  <c:v>11296</c:v>
                </c:pt>
                <c:pt idx="12">
                  <c:v>7486</c:v>
                </c:pt>
                <c:pt idx="13">
                  <c:v>5611</c:v>
                </c:pt>
                <c:pt idx="14">
                  <c:v>4477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Data!$A$23:$A$37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Data!$D$23:$D$37</c:f>
              <c:numCache>
                <c:formatCode>General</c:formatCode>
                <c:ptCount val="15"/>
                <c:pt idx="0">
                  <c:v>387793</c:v>
                </c:pt>
                <c:pt idx="1">
                  <c:v>305927</c:v>
                </c:pt>
                <c:pt idx="2">
                  <c:v>225202</c:v>
                </c:pt>
                <c:pt idx="3">
                  <c:v>205859</c:v>
                </c:pt>
                <c:pt idx="4">
                  <c:v>127566</c:v>
                </c:pt>
                <c:pt idx="5">
                  <c:v>73347</c:v>
                </c:pt>
                <c:pt idx="6">
                  <c:v>51629</c:v>
                </c:pt>
                <c:pt idx="7">
                  <c:v>39585</c:v>
                </c:pt>
                <c:pt idx="8">
                  <c:v>32259</c:v>
                </c:pt>
                <c:pt idx="9">
                  <c:v>27290</c:v>
                </c:pt>
                <c:pt idx="10">
                  <c:v>20707</c:v>
                </c:pt>
                <c:pt idx="11">
                  <c:v>10685</c:v>
                </c:pt>
                <c:pt idx="12">
                  <c:v>7179</c:v>
                </c:pt>
                <c:pt idx="13">
                  <c:v>5384</c:v>
                </c:pt>
                <c:pt idx="14">
                  <c:v>4326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Data!$A$42:$A$50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</c:numCache>
            </c:numRef>
          </c:xVal>
          <c:yVal>
            <c:numRef>
              <c:f>Data!$D$42:$D$50</c:f>
              <c:numCache>
                <c:formatCode>General</c:formatCode>
                <c:ptCount val="9"/>
                <c:pt idx="0">
                  <c:v>339631</c:v>
                </c:pt>
                <c:pt idx="1">
                  <c:v>280486</c:v>
                </c:pt>
                <c:pt idx="2">
                  <c:v>213290</c:v>
                </c:pt>
                <c:pt idx="3">
                  <c:v>194058</c:v>
                </c:pt>
                <c:pt idx="4">
                  <c:v>120361</c:v>
                </c:pt>
                <c:pt idx="5">
                  <c:v>70402</c:v>
                </c:pt>
                <c:pt idx="6">
                  <c:v>49584</c:v>
                </c:pt>
                <c:pt idx="7">
                  <c:v>38336</c:v>
                </c:pt>
                <c:pt idx="8">
                  <c:v>31162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626608"/>
        <c:axId val="1100627152"/>
      </c:scatterChart>
      <c:valAx>
        <c:axId val="1100626608"/>
        <c:scaling>
          <c:logBase val="10"/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Cipher characters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0627152"/>
        <c:crosses val="autoZero"/>
        <c:crossBetween val="midCat"/>
      </c:valAx>
      <c:valAx>
        <c:axId val="11006271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Decodes/s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0626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6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16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16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161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161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/>
  <sheetViews>
    <sheetView tabSelected="1" zoomScale="16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6102" cy="607588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6102" cy="607588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6102" cy="607588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6102" cy="607588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6102" cy="607588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6102" cy="607588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23"/>
  <sheetViews>
    <sheetView workbookViewId="0">
      <pane xSplit="1" ySplit="4" topLeftCell="D65" activePane="bottomRight" state="frozen"/>
      <selection pane="topRight" activeCell="B1" sqref="B1"/>
      <selection pane="bottomLeft" activeCell="A5" sqref="A5"/>
      <selection pane="bottomRight" activeCell="L65" sqref="L65:L96"/>
    </sheetView>
  </sheetViews>
  <sheetFormatPr defaultRowHeight="15" x14ac:dyDescent="0.25"/>
  <cols>
    <col min="1" max="1" width="15.85546875" customWidth="1"/>
    <col min="2" max="2" width="9" bestFit="1" customWidth="1"/>
    <col min="3" max="3" width="17.7109375" bestFit="1" customWidth="1"/>
    <col min="4" max="4" width="8.5703125" bestFit="1" customWidth="1"/>
    <col min="5" max="5" width="17" bestFit="1" customWidth="1"/>
    <col min="20" max="20" width="16.5703125" customWidth="1"/>
  </cols>
  <sheetData>
    <row r="1" spans="1:20" ht="18.75" x14ac:dyDescent="0.3">
      <c r="A1" s="2" t="s">
        <v>0</v>
      </c>
      <c r="B1" s="2" t="s">
        <v>9</v>
      </c>
      <c r="H1" s="2" t="s">
        <v>13</v>
      </c>
      <c r="P1" s="2" t="s">
        <v>14</v>
      </c>
    </row>
    <row r="2" spans="1:20" ht="18.75" x14ac:dyDescent="0.3">
      <c r="A2" s="2"/>
      <c r="B2" s="2" t="s">
        <v>10</v>
      </c>
      <c r="H2" s="2" t="s">
        <v>11</v>
      </c>
      <c r="P2" s="2" t="s">
        <v>12</v>
      </c>
    </row>
    <row r="3" spans="1:20" x14ac:dyDescent="0.25">
      <c r="A3" s="1" t="s">
        <v>1</v>
      </c>
    </row>
    <row r="4" spans="1:20" x14ac:dyDescent="0.25">
      <c r="A4" t="s">
        <v>2</v>
      </c>
      <c r="B4" t="s">
        <v>3</v>
      </c>
      <c r="C4" t="s">
        <v>4</v>
      </c>
      <c r="D4" t="s">
        <v>5</v>
      </c>
      <c r="E4" t="s">
        <v>7</v>
      </c>
      <c r="H4" t="s">
        <v>2</v>
      </c>
      <c r="I4" t="s">
        <v>3</v>
      </c>
      <c r="J4" t="s">
        <v>4</v>
      </c>
      <c r="K4" t="s">
        <v>5</v>
      </c>
      <c r="L4" t="s">
        <v>7</v>
      </c>
      <c r="O4" t="s">
        <v>17</v>
      </c>
      <c r="P4" t="s">
        <v>2</v>
      </c>
      <c r="Q4" t="s">
        <v>3</v>
      </c>
      <c r="R4" t="s">
        <v>4</v>
      </c>
      <c r="S4" t="s">
        <v>5</v>
      </c>
      <c r="T4" t="s">
        <v>7</v>
      </c>
    </row>
    <row r="5" spans="1:20" x14ac:dyDescent="0.25">
      <c r="A5">
        <v>2</v>
      </c>
      <c r="B5">
        <v>10000000</v>
      </c>
      <c r="C5">
        <v>427</v>
      </c>
      <c r="D5">
        <v>2339756</v>
      </c>
      <c r="E5">
        <v>4.2999999999999997E-2</v>
      </c>
      <c r="H5">
        <v>2</v>
      </c>
      <c r="I5">
        <v>10000000</v>
      </c>
      <c r="J5">
        <v>341</v>
      </c>
      <c r="K5">
        <v>2934617</v>
      </c>
      <c r="L5">
        <v>3.4000000000000002E-2</v>
      </c>
      <c r="P5">
        <v>2</v>
      </c>
      <c r="Q5">
        <v>10000000</v>
      </c>
      <c r="R5">
        <v>251</v>
      </c>
      <c r="S5">
        <v>3983048</v>
      </c>
      <c r="T5">
        <v>2.5000000000000001E-2</v>
      </c>
    </row>
    <row r="6" spans="1:20" x14ac:dyDescent="0.25">
      <c r="A6">
        <v>5</v>
      </c>
      <c r="B6">
        <v>10000000</v>
      </c>
      <c r="C6">
        <v>1067</v>
      </c>
      <c r="D6">
        <v>937043</v>
      </c>
      <c r="E6">
        <v>0.107</v>
      </c>
      <c r="H6">
        <v>5</v>
      </c>
      <c r="I6">
        <v>10000000</v>
      </c>
      <c r="J6">
        <v>839</v>
      </c>
      <c r="K6">
        <v>1192557</v>
      </c>
      <c r="L6">
        <v>8.4000000000000005E-2</v>
      </c>
      <c r="P6">
        <v>5</v>
      </c>
      <c r="Q6">
        <v>10000000</v>
      </c>
      <c r="R6">
        <v>596</v>
      </c>
      <c r="S6">
        <v>1677475</v>
      </c>
      <c r="T6">
        <v>0.06</v>
      </c>
    </row>
    <row r="7" spans="1:20" x14ac:dyDescent="0.25">
      <c r="A7">
        <v>10</v>
      </c>
      <c r="B7">
        <v>10000000</v>
      </c>
      <c r="C7">
        <v>2176</v>
      </c>
      <c r="D7">
        <v>459543</v>
      </c>
      <c r="E7">
        <v>0.218</v>
      </c>
      <c r="H7">
        <v>10</v>
      </c>
      <c r="I7">
        <v>10000000</v>
      </c>
      <c r="J7">
        <v>1689</v>
      </c>
      <c r="K7">
        <v>591990</v>
      </c>
      <c r="L7">
        <v>0.16900000000000001</v>
      </c>
      <c r="P7">
        <v>10</v>
      </c>
      <c r="Q7">
        <v>10000000</v>
      </c>
      <c r="R7">
        <v>1197</v>
      </c>
      <c r="S7">
        <v>835582</v>
      </c>
      <c r="T7">
        <v>0.12</v>
      </c>
    </row>
    <row r="8" spans="1:20" x14ac:dyDescent="0.25">
      <c r="A8">
        <v>12</v>
      </c>
      <c r="B8">
        <v>10000000</v>
      </c>
      <c r="C8">
        <v>2608</v>
      </c>
      <c r="D8">
        <v>383378</v>
      </c>
      <c r="E8">
        <v>0.26100000000000001</v>
      </c>
      <c r="H8">
        <v>12</v>
      </c>
      <c r="I8">
        <v>10000000</v>
      </c>
      <c r="J8">
        <v>2030</v>
      </c>
      <c r="K8">
        <v>492519</v>
      </c>
      <c r="L8">
        <v>0.20300000000000001</v>
      </c>
      <c r="P8">
        <v>12</v>
      </c>
      <c r="Q8">
        <v>10000000</v>
      </c>
      <c r="R8">
        <v>1436</v>
      </c>
      <c r="S8">
        <v>696320</v>
      </c>
      <c r="T8">
        <v>0.14399999999999999</v>
      </c>
    </row>
    <row r="9" spans="1:20" x14ac:dyDescent="0.25">
      <c r="A9">
        <v>25</v>
      </c>
      <c r="B9">
        <v>10000000</v>
      </c>
      <c r="C9">
        <v>5332</v>
      </c>
      <c r="D9">
        <v>187539</v>
      </c>
      <c r="E9">
        <v>0.53300000000000003</v>
      </c>
      <c r="H9">
        <v>25</v>
      </c>
      <c r="I9">
        <v>10000000</v>
      </c>
      <c r="J9">
        <v>4160</v>
      </c>
      <c r="K9">
        <v>240408</v>
      </c>
      <c r="L9">
        <v>0.41599999999999998</v>
      </c>
      <c r="P9">
        <v>25</v>
      </c>
      <c r="Q9">
        <v>10000000</v>
      </c>
      <c r="R9">
        <v>3010</v>
      </c>
      <c r="S9">
        <v>332203</v>
      </c>
      <c r="T9">
        <v>0.30099999999999999</v>
      </c>
    </row>
    <row r="10" spans="1:20" x14ac:dyDescent="0.25">
      <c r="A10">
        <v>50</v>
      </c>
      <c r="B10">
        <v>10000000</v>
      </c>
      <c r="C10">
        <v>10602</v>
      </c>
      <c r="D10">
        <v>94326</v>
      </c>
      <c r="E10">
        <v>1.06</v>
      </c>
      <c r="H10">
        <v>50</v>
      </c>
      <c r="I10">
        <v>10000000</v>
      </c>
      <c r="J10">
        <v>8298</v>
      </c>
      <c r="K10">
        <v>120518</v>
      </c>
      <c r="L10">
        <v>0.83</v>
      </c>
      <c r="P10">
        <v>50</v>
      </c>
      <c r="Q10">
        <v>10000000</v>
      </c>
      <c r="R10">
        <v>6044</v>
      </c>
      <c r="S10">
        <v>165447</v>
      </c>
      <c r="T10">
        <v>0.60399999999999998</v>
      </c>
    </row>
    <row r="11" spans="1:20" x14ac:dyDescent="0.25">
      <c r="A11">
        <v>75</v>
      </c>
      <c r="B11">
        <v>10000000</v>
      </c>
      <c r="C11">
        <v>15887</v>
      </c>
      <c r="D11">
        <v>62943</v>
      </c>
      <c r="E11">
        <v>1.589</v>
      </c>
      <c r="H11">
        <v>75</v>
      </c>
      <c r="I11">
        <v>10000000</v>
      </c>
      <c r="J11">
        <v>12475</v>
      </c>
      <c r="K11">
        <v>80158</v>
      </c>
      <c r="L11">
        <v>1.248</v>
      </c>
      <c r="P11">
        <v>75</v>
      </c>
      <c r="Q11">
        <v>10000000</v>
      </c>
      <c r="R11">
        <v>8987</v>
      </c>
      <c r="S11">
        <v>111266</v>
      </c>
      <c r="T11">
        <v>0.89900000000000002</v>
      </c>
    </row>
    <row r="12" spans="1:20" x14ac:dyDescent="0.25">
      <c r="A12">
        <v>100</v>
      </c>
      <c r="B12">
        <v>10000000</v>
      </c>
      <c r="C12">
        <v>22189</v>
      </c>
      <c r="D12">
        <v>45067</v>
      </c>
      <c r="E12">
        <v>2.2189999999999999</v>
      </c>
      <c r="H12">
        <v>100</v>
      </c>
      <c r="I12">
        <v>10000000</v>
      </c>
      <c r="J12">
        <v>16812</v>
      </c>
      <c r="K12">
        <v>59481</v>
      </c>
      <c r="L12">
        <v>1.681</v>
      </c>
      <c r="P12">
        <v>100</v>
      </c>
      <c r="Q12">
        <v>10000000</v>
      </c>
      <c r="R12">
        <v>11990</v>
      </c>
      <c r="S12">
        <v>83402</v>
      </c>
      <c r="T12">
        <v>1.1990000000000001</v>
      </c>
    </row>
    <row r="13" spans="1:20" x14ac:dyDescent="0.25">
      <c r="A13">
        <v>125</v>
      </c>
      <c r="B13">
        <v>10000000</v>
      </c>
      <c r="C13">
        <v>27851</v>
      </c>
      <c r="D13">
        <v>35906</v>
      </c>
      <c r="E13">
        <v>2.7850000000000001</v>
      </c>
      <c r="H13">
        <v>125</v>
      </c>
      <c r="I13">
        <v>10000000</v>
      </c>
      <c r="J13">
        <v>20864</v>
      </c>
      <c r="K13">
        <v>47929</v>
      </c>
      <c r="L13">
        <v>2.0859999999999999</v>
      </c>
      <c r="P13">
        <v>125</v>
      </c>
      <c r="Q13">
        <v>10000000</v>
      </c>
      <c r="R13">
        <v>15000</v>
      </c>
      <c r="S13">
        <v>66666</v>
      </c>
      <c r="T13">
        <v>1.5</v>
      </c>
    </row>
    <row r="14" spans="1:20" x14ac:dyDescent="0.25">
      <c r="A14">
        <v>150</v>
      </c>
      <c r="B14">
        <v>10000000</v>
      </c>
      <c r="C14">
        <v>33110</v>
      </c>
      <c r="D14">
        <v>30203</v>
      </c>
      <c r="E14">
        <v>3.3109999999999999</v>
      </c>
      <c r="H14">
        <v>150</v>
      </c>
      <c r="I14">
        <v>10000000</v>
      </c>
      <c r="J14">
        <v>24923</v>
      </c>
      <c r="K14">
        <v>40123</v>
      </c>
      <c r="L14">
        <v>2.492</v>
      </c>
      <c r="P14">
        <v>150</v>
      </c>
      <c r="Q14">
        <v>10000000</v>
      </c>
      <c r="R14">
        <v>17999</v>
      </c>
      <c r="S14">
        <v>55558</v>
      </c>
      <c r="T14">
        <v>1.8</v>
      </c>
    </row>
    <row r="15" spans="1:20" x14ac:dyDescent="0.25">
      <c r="A15">
        <v>200</v>
      </c>
      <c r="B15">
        <v>10000000</v>
      </c>
      <c r="C15">
        <v>44226</v>
      </c>
      <c r="D15">
        <v>22611</v>
      </c>
      <c r="E15">
        <v>4.423</v>
      </c>
      <c r="H15">
        <v>200</v>
      </c>
      <c r="I15">
        <v>10000000</v>
      </c>
      <c r="J15">
        <v>33434</v>
      </c>
      <c r="K15">
        <v>29910</v>
      </c>
      <c r="L15">
        <v>3.343</v>
      </c>
      <c r="P15">
        <v>200</v>
      </c>
      <c r="Q15">
        <v>10000000</v>
      </c>
      <c r="R15">
        <v>24059</v>
      </c>
      <c r="S15">
        <v>41564</v>
      </c>
      <c r="T15">
        <v>2.4060000000000001</v>
      </c>
    </row>
    <row r="16" spans="1:20" x14ac:dyDescent="0.25">
      <c r="A16">
        <v>400</v>
      </c>
      <c r="B16">
        <v>10000000</v>
      </c>
      <c r="C16">
        <v>88526</v>
      </c>
      <c r="D16">
        <v>11296</v>
      </c>
      <c r="E16">
        <v>8.8529999999999998</v>
      </c>
      <c r="H16">
        <v>400</v>
      </c>
      <c r="I16">
        <v>10000000</v>
      </c>
      <c r="J16">
        <v>66885</v>
      </c>
      <c r="K16">
        <v>14951</v>
      </c>
      <c r="L16">
        <v>6.6890000000000001</v>
      </c>
      <c r="P16">
        <v>400</v>
      </c>
      <c r="Q16">
        <v>10000000</v>
      </c>
      <c r="R16">
        <v>48085</v>
      </c>
      <c r="S16">
        <v>20797</v>
      </c>
      <c r="T16">
        <v>4.8079999999999998</v>
      </c>
    </row>
    <row r="17" spans="1:20" x14ac:dyDescent="0.25">
      <c r="A17">
        <v>600</v>
      </c>
      <c r="B17">
        <v>10000000</v>
      </c>
      <c r="C17">
        <v>133589</v>
      </c>
      <c r="D17">
        <v>7486</v>
      </c>
      <c r="E17">
        <v>13.359</v>
      </c>
      <c r="H17">
        <v>600</v>
      </c>
      <c r="I17">
        <v>10000000</v>
      </c>
      <c r="J17">
        <v>100864</v>
      </c>
      <c r="K17">
        <v>9914</v>
      </c>
      <c r="L17">
        <v>10.086</v>
      </c>
      <c r="P17">
        <v>600</v>
      </c>
      <c r="Q17">
        <v>10000000</v>
      </c>
      <c r="R17">
        <v>71702</v>
      </c>
      <c r="S17">
        <v>13947</v>
      </c>
      <c r="T17">
        <v>7.17</v>
      </c>
    </row>
    <row r="18" spans="1:20" x14ac:dyDescent="0.25">
      <c r="A18">
        <v>800</v>
      </c>
      <c r="B18">
        <v>10000000</v>
      </c>
      <c r="C18">
        <v>178225</v>
      </c>
      <c r="D18">
        <v>5611</v>
      </c>
      <c r="E18">
        <v>17.823</v>
      </c>
      <c r="H18">
        <v>800</v>
      </c>
      <c r="I18">
        <v>10000000</v>
      </c>
      <c r="J18">
        <v>134572</v>
      </c>
      <c r="K18">
        <v>7431</v>
      </c>
      <c r="L18">
        <v>13.457000000000001</v>
      </c>
      <c r="P18">
        <v>800</v>
      </c>
      <c r="Q18">
        <v>10000000</v>
      </c>
      <c r="R18">
        <v>97125</v>
      </c>
      <c r="S18">
        <v>10296</v>
      </c>
      <c r="T18">
        <v>9.7119999999999997</v>
      </c>
    </row>
    <row r="19" spans="1:20" x14ac:dyDescent="0.25">
      <c r="A19">
        <v>1000</v>
      </c>
      <c r="B19">
        <v>10000000</v>
      </c>
      <c r="C19">
        <v>223357</v>
      </c>
      <c r="D19">
        <v>4477</v>
      </c>
      <c r="E19">
        <v>22.335999999999999</v>
      </c>
      <c r="H19">
        <v>1000</v>
      </c>
      <c r="I19">
        <v>10000000</v>
      </c>
      <c r="J19">
        <v>167126</v>
      </c>
      <c r="K19">
        <v>5984</v>
      </c>
      <c r="L19">
        <v>16.713000000000001</v>
      </c>
      <c r="P19">
        <v>1000</v>
      </c>
      <c r="Q19">
        <v>10000000</v>
      </c>
      <c r="R19">
        <v>122611</v>
      </c>
      <c r="S19">
        <v>8156</v>
      </c>
      <c r="T19">
        <v>12.260999999999999</v>
      </c>
    </row>
    <row r="21" spans="1:20" x14ac:dyDescent="0.25">
      <c r="A21" s="1" t="s">
        <v>6</v>
      </c>
    </row>
    <row r="22" spans="1:20" x14ac:dyDescent="0.25">
      <c r="A22" t="s">
        <v>2</v>
      </c>
      <c r="B22" t="s">
        <v>3</v>
      </c>
      <c r="C22" t="s">
        <v>4</v>
      </c>
      <c r="D22" t="s">
        <v>5</v>
      </c>
      <c r="E22" t="s">
        <v>7</v>
      </c>
      <c r="H22" t="s">
        <v>2</v>
      </c>
      <c r="I22" t="s">
        <v>3</v>
      </c>
      <c r="J22" t="s">
        <v>4</v>
      </c>
      <c r="K22" t="s">
        <v>5</v>
      </c>
      <c r="L22" t="s">
        <v>7</v>
      </c>
      <c r="P22" t="s">
        <v>2</v>
      </c>
      <c r="Q22" t="s">
        <v>3</v>
      </c>
      <c r="R22" t="s">
        <v>4</v>
      </c>
      <c r="S22" t="s">
        <v>5</v>
      </c>
      <c r="T22" t="s">
        <v>7</v>
      </c>
    </row>
    <row r="23" spans="1:20" x14ac:dyDescent="0.25">
      <c r="A23">
        <v>2</v>
      </c>
      <c r="B23">
        <v>10000000</v>
      </c>
      <c r="C23">
        <v>2579</v>
      </c>
      <c r="D23">
        <v>387793</v>
      </c>
      <c r="E23">
        <v>0.25800000000000001</v>
      </c>
      <c r="H23">
        <v>2</v>
      </c>
      <c r="I23">
        <v>10000000</v>
      </c>
      <c r="J23">
        <v>2105</v>
      </c>
      <c r="K23">
        <v>474972</v>
      </c>
      <c r="L23">
        <v>0.21099999999999999</v>
      </c>
      <c r="P23">
        <v>2</v>
      </c>
      <c r="Q23">
        <v>10000000</v>
      </c>
      <c r="R23">
        <v>1819</v>
      </c>
      <c r="S23">
        <v>549685</v>
      </c>
      <c r="T23">
        <v>0.182</v>
      </c>
    </row>
    <row r="24" spans="1:20" x14ac:dyDescent="0.25">
      <c r="A24">
        <v>5</v>
      </c>
      <c r="B24">
        <v>10000000</v>
      </c>
      <c r="C24">
        <v>3269</v>
      </c>
      <c r="D24">
        <v>305927</v>
      </c>
      <c r="E24">
        <v>0.32700000000000001</v>
      </c>
      <c r="H24">
        <v>5</v>
      </c>
      <c r="I24">
        <v>10000000</v>
      </c>
      <c r="J24">
        <v>2612</v>
      </c>
      <c r="K24">
        <v>382895</v>
      </c>
      <c r="L24">
        <v>0.26100000000000001</v>
      </c>
      <c r="P24">
        <v>5</v>
      </c>
      <c r="Q24">
        <v>10000000</v>
      </c>
      <c r="R24">
        <v>2231</v>
      </c>
      <c r="S24">
        <v>448188</v>
      </c>
      <c r="T24">
        <v>0.223</v>
      </c>
    </row>
    <row r="25" spans="1:20" x14ac:dyDescent="0.25">
      <c r="A25">
        <v>10</v>
      </c>
      <c r="B25">
        <v>10000000</v>
      </c>
      <c r="C25">
        <v>4440</v>
      </c>
      <c r="D25">
        <v>225202</v>
      </c>
      <c r="E25">
        <v>0.44400000000000001</v>
      </c>
      <c r="H25">
        <v>10</v>
      </c>
      <c r="I25">
        <v>10000000</v>
      </c>
      <c r="J25">
        <v>3544</v>
      </c>
      <c r="K25">
        <v>282173</v>
      </c>
      <c r="L25">
        <v>0.35399999999999998</v>
      </c>
      <c r="P25">
        <v>10</v>
      </c>
      <c r="Q25">
        <v>10000000</v>
      </c>
      <c r="R25">
        <v>2861</v>
      </c>
      <c r="S25">
        <v>349541</v>
      </c>
      <c r="T25">
        <v>0.28599999999999998</v>
      </c>
    </row>
    <row r="26" spans="1:20" x14ac:dyDescent="0.25">
      <c r="A26">
        <v>12</v>
      </c>
      <c r="B26">
        <v>10000000</v>
      </c>
      <c r="C26">
        <v>4858</v>
      </c>
      <c r="D26">
        <v>205859</v>
      </c>
      <c r="E26">
        <v>0.48599999999999999</v>
      </c>
      <c r="H26">
        <v>12</v>
      </c>
      <c r="I26">
        <v>10000000</v>
      </c>
      <c r="J26">
        <v>3895</v>
      </c>
      <c r="K26">
        <v>256733</v>
      </c>
      <c r="L26">
        <v>0.39</v>
      </c>
      <c r="P26">
        <v>12</v>
      </c>
      <c r="Q26">
        <v>10000000</v>
      </c>
      <c r="R26">
        <v>3114</v>
      </c>
      <c r="S26">
        <v>321116</v>
      </c>
      <c r="T26">
        <v>0.311</v>
      </c>
    </row>
    <row r="27" spans="1:20" x14ac:dyDescent="0.25">
      <c r="A27">
        <v>25</v>
      </c>
      <c r="B27">
        <v>10000000</v>
      </c>
      <c r="C27">
        <v>7839</v>
      </c>
      <c r="D27">
        <v>127566</v>
      </c>
      <c r="E27">
        <v>0.78400000000000003</v>
      </c>
      <c r="H27">
        <v>25</v>
      </c>
      <c r="I27">
        <v>10000000</v>
      </c>
      <c r="J27">
        <v>6094</v>
      </c>
      <c r="K27">
        <v>164108</v>
      </c>
      <c r="L27">
        <v>0.60899999999999999</v>
      </c>
      <c r="P27">
        <v>25</v>
      </c>
      <c r="Q27">
        <v>10000000</v>
      </c>
      <c r="R27">
        <v>4849</v>
      </c>
      <c r="S27">
        <v>206227</v>
      </c>
      <c r="T27">
        <v>0.48499999999999999</v>
      </c>
    </row>
    <row r="28" spans="1:20" x14ac:dyDescent="0.25">
      <c r="A28">
        <v>50</v>
      </c>
      <c r="B28">
        <v>10000000</v>
      </c>
      <c r="C28">
        <v>13634</v>
      </c>
      <c r="D28">
        <v>73347</v>
      </c>
      <c r="E28">
        <v>1.363</v>
      </c>
      <c r="H28">
        <v>50</v>
      </c>
      <c r="I28">
        <v>10000000</v>
      </c>
      <c r="J28">
        <v>10456</v>
      </c>
      <c r="K28">
        <v>95640</v>
      </c>
      <c r="L28">
        <v>1.046</v>
      </c>
      <c r="P28">
        <v>50</v>
      </c>
      <c r="Q28">
        <v>10000000</v>
      </c>
      <c r="R28">
        <v>8197</v>
      </c>
      <c r="S28">
        <v>121992</v>
      </c>
      <c r="T28">
        <v>0.82</v>
      </c>
    </row>
    <row r="29" spans="1:20" x14ac:dyDescent="0.25">
      <c r="A29">
        <v>75</v>
      </c>
      <c r="B29">
        <v>10000000</v>
      </c>
      <c r="C29">
        <v>19369</v>
      </c>
      <c r="D29">
        <v>51629</v>
      </c>
      <c r="E29">
        <v>1.9370000000000001</v>
      </c>
      <c r="H29">
        <v>75</v>
      </c>
      <c r="I29">
        <v>10000000</v>
      </c>
      <c r="J29">
        <v>14885</v>
      </c>
      <c r="K29">
        <v>67181</v>
      </c>
      <c r="L29">
        <v>1.4890000000000001</v>
      </c>
      <c r="P29">
        <v>75</v>
      </c>
      <c r="Q29">
        <v>10000000</v>
      </c>
      <c r="R29">
        <v>11702</v>
      </c>
      <c r="S29">
        <v>85457</v>
      </c>
      <c r="T29">
        <v>1.17</v>
      </c>
    </row>
    <row r="30" spans="1:20" x14ac:dyDescent="0.25">
      <c r="A30">
        <v>100</v>
      </c>
      <c r="B30">
        <v>10000000</v>
      </c>
      <c r="C30">
        <v>25262</v>
      </c>
      <c r="D30">
        <v>39585</v>
      </c>
      <c r="E30">
        <v>2.5259999999999998</v>
      </c>
      <c r="H30">
        <v>100</v>
      </c>
      <c r="I30">
        <v>10000000</v>
      </c>
      <c r="J30">
        <v>18926</v>
      </c>
      <c r="K30">
        <v>52839</v>
      </c>
      <c r="L30">
        <v>1.893</v>
      </c>
      <c r="P30">
        <v>100</v>
      </c>
      <c r="Q30">
        <v>10000000</v>
      </c>
      <c r="R30">
        <v>15102</v>
      </c>
      <c r="S30">
        <v>66217</v>
      </c>
      <c r="T30">
        <v>1.51</v>
      </c>
    </row>
    <row r="31" spans="1:20" x14ac:dyDescent="0.25">
      <c r="A31">
        <v>125</v>
      </c>
      <c r="B31">
        <v>10000000</v>
      </c>
      <c r="C31">
        <v>31000</v>
      </c>
      <c r="D31">
        <v>32259</v>
      </c>
      <c r="E31">
        <v>3.1</v>
      </c>
      <c r="H31">
        <v>125</v>
      </c>
      <c r="I31">
        <v>10000000</v>
      </c>
      <c r="J31">
        <v>23237</v>
      </c>
      <c r="K31">
        <v>43036</v>
      </c>
      <c r="L31">
        <v>2.3239999999999998</v>
      </c>
      <c r="P31">
        <v>125</v>
      </c>
      <c r="Q31">
        <v>10000000</v>
      </c>
      <c r="R31">
        <v>18238</v>
      </c>
      <c r="S31">
        <v>54830</v>
      </c>
      <c r="T31">
        <v>1.8240000000000001</v>
      </c>
    </row>
    <row r="32" spans="1:20" x14ac:dyDescent="0.25">
      <c r="A32">
        <v>150</v>
      </c>
      <c r="B32">
        <v>10000000</v>
      </c>
      <c r="C32">
        <v>36643</v>
      </c>
      <c r="D32">
        <v>27290</v>
      </c>
      <c r="E32">
        <v>3.6640000000000001</v>
      </c>
      <c r="H32">
        <v>150</v>
      </c>
      <c r="I32">
        <v>10000000</v>
      </c>
      <c r="J32">
        <v>27462</v>
      </c>
      <c r="K32">
        <v>36415</v>
      </c>
      <c r="L32">
        <v>2.746</v>
      </c>
      <c r="P32">
        <v>150</v>
      </c>
      <c r="Q32">
        <v>10000000</v>
      </c>
      <c r="R32">
        <v>21572</v>
      </c>
      <c r="S32">
        <v>46356</v>
      </c>
      <c r="T32">
        <v>2.157</v>
      </c>
    </row>
    <row r="33" spans="1:20" x14ac:dyDescent="0.25">
      <c r="A33">
        <v>200</v>
      </c>
      <c r="B33">
        <v>10000000</v>
      </c>
      <c r="C33">
        <v>48292</v>
      </c>
      <c r="D33">
        <v>20707</v>
      </c>
      <c r="E33">
        <v>4.8289999999999997</v>
      </c>
      <c r="H33">
        <v>200</v>
      </c>
      <c r="I33">
        <v>10000000</v>
      </c>
      <c r="J33">
        <v>35507</v>
      </c>
      <c r="K33">
        <v>28163</v>
      </c>
      <c r="L33">
        <v>3.5510000000000002</v>
      </c>
      <c r="P33">
        <v>200</v>
      </c>
      <c r="Q33">
        <v>10000000</v>
      </c>
      <c r="R33">
        <v>28270</v>
      </c>
      <c r="S33">
        <v>35373</v>
      </c>
      <c r="T33">
        <v>2.827</v>
      </c>
    </row>
    <row r="34" spans="1:20" x14ac:dyDescent="0.25">
      <c r="A34">
        <v>400</v>
      </c>
      <c r="B34">
        <v>10000000</v>
      </c>
      <c r="C34">
        <v>93592</v>
      </c>
      <c r="D34">
        <v>10685</v>
      </c>
      <c r="E34">
        <v>9.359</v>
      </c>
      <c r="H34">
        <v>400</v>
      </c>
      <c r="I34">
        <v>10000000</v>
      </c>
      <c r="J34">
        <v>69289</v>
      </c>
      <c r="K34">
        <v>14432</v>
      </c>
      <c r="L34">
        <v>6.9290000000000003</v>
      </c>
      <c r="P34">
        <v>400</v>
      </c>
      <c r="Q34">
        <v>10000000</v>
      </c>
      <c r="R34">
        <v>54590</v>
      </c>
      <c r="S34">
        <v>18318</v>
      </c>
      <c r="T34">
        <v>5.4589999999999996</v>
      </c>
    </row>
    <row r="35" spans="1:20" x14ac:dyDescent="0.25">
      <c r="A35">
        <v>600</v>
      </c>
      <c r="B35">
        <v>10000000</v>
      </c>
      <c r="C35">
        <v>139289</v>
      </c>
      <c r="D35">
        <v>7179</v>
      </c>
      <c r="E35">
        <v>13.929</v>
      </c>
      <c r="H35">
        <v>600</v>
      </c>
      <c r="I35">
        <v>10000000</v>
      </c>
      <c r="J35">
        <v>104002</v>
      </c>
      <c r="K35">
        <v>9615</v>
      </c>
      <c r="L35">
        <v>10.4</v>
      </c>
      <c r="P35">
        <v>600</v>
      </c>
      <c r="Q35">
        <v>10000000</v>
      </c>
      <c r="R35">
        <v>80705</v>
      </c>
      <c r="S35">
        <v>12391</v>
      </c>
      <c r="T35">
        <v>8.07</v>
      </c>
    </row>
    <row r="36" spans="1:20" x14ac:dyDescent="0.25">
      <c r="A36">
        <v>800</v>
      </c>
      <c r="B36">
        <v>10000000</v>
      </c>
      <c r="C36">
        <v>185720</v>
      </c>
      <c r="D36">
        <v>5384</v>
      </c>
      <c r="E36">
        <v>18.571999999999999</v>
      </c>
      <c r="H36">
        <v>800</v>
      </c>
      <c r="I36">
        <v>10000000</v>
      </c>
      <c r="J36">
        <v>137407</v>
      </c>
      <c r="K36">
        <v>7278</v>
      </c>
      <c r="L36">
        <v>13.741</v>
      </c>
      <c r="P36">
        <v>800</v>
      </c>
      <c r="Q36">
        <v>10000000</v>
      </c>
      <c r="R36">
        <v>108134</v>
      </c>
      <c r="S36">
        <v>9248</v>
      </c>
      <c r="T36">
        <v>10.813000000000001</v>
      </c>
    </row>
    <row r="37" spans="1:20" x14ac:dyDescent="0.25">
      <c r="A37">
        <v>1000</v>
      </c>
      <c r="B37">
        <v>10000000</v>
      </c>
      <c r="C37">
        <v>231186</v>
      </c>
      <c r="D37">
        <v>4326</v>
      </c>
      <c r="E37">
        <v>23.119</v>
      </c>
      <c r="H37">
        <v>1000</v>
      </c>
      <c r="I37">
        <v>10000000</v>
      </c>
      <c r="J37">
        <v>170211</v>
      </c>
      <c r="K37">
        <v>5875</v>
      </c>
      <c r="L37">
        <v>17.021000000000001</v>
      </c>
      <c r="P37">
        <v>1000</v>
      </c>
      <c r="Q37">
        <v>10000000</v>
      </c>
      <c r="R37">
        <v>133943</v>
      </c>
      <c r="S37">
        <v>7466</v>
      </c>
      <c r="T37">
        <v>13.394</v>
      </c>
    </row>
    <row r="40" spans="1:20" x14ac:dyDescent="0.25">
      <c r="A40" t="s">
        <v>8</v>
      </c>
    </row>
    <row r="41" spans="1:20" x14ac:dyDescent="0.25">
      <c r="A41" t="s">
        <v>2</v>
      </c>
      <c r="B41" t="s">
        <v>3</v>
      </c>
      <c r="C41" t="s">
        <v>4</v>
      </c>
      <c r="D41" t="s">
        <v>5</v>
      </c>
      <c r="E41" t="s">
        <v>7</v>
      </c>
      <c r="H41" t="s">
        <v>2</v>
      </c>
      <c r="I41" t="s">
        <v>3</v>
      </c>
      <c r="J41" t="s">
        <v>4</v>
      </c>
      <c r="K41" t="s">
        <v>5</v>
      </c>
      <c r="L41" t="s">
        <v>7</v>
      </c>
      <c r="P41" t="s">
        <v>2</v>
      </c>
      <c r="Q41" t="s">
        <v>3</v>
      </c>
      <c r="R41" t="s">
        <v>4</v>
      </c>
      <c r="S41" t="s">
        <v>5</v>
      </c>
      <c r="T41" t="s">
        <v>7</v>
      </c>
    </row>
    <row r="42" spans="1:20" x14ac:dyDescent="0.25">
      <c r="A42">
        <v>2</v>
      </c>
      <c r="B42">
        <v>10000000</v>
      </c>
      <c r="C42">
        <v>2944</v>
      </c>
      <c r="D42">
        <v>339631</v>
      </c>
      <c r="E42">
        <v>0.29399999999999998</v>
      </c>
      <c r="H42">
        <v>2</v>
      </c>
      <c r="I42">
        <v>10000000</v>
      </c>
      <c r="J42">
        <v>2487</v>
      </c>
      <c r="K42">
        <v>402163</v>
      </c>
      <c r="L42">
        <v>0.249</v>
      </c>
      <c r="P42">
        <v>2</v>
      </c>
      <c r="Q42">
        <v>10000000</v>
      </c>
      <c r="R42">
        <v>2111</v>
      </c>
      <c r="S42">
        <v>473733</v>
      </c>
      <c r="T42">
        <v>0.21099999999999999</v>
      </c>
    </row>
    <row r="43" spans="1:20" x14ac:dyDescent="0.25">
      <c r="A43">
        <v>5</v>
      </c>
      <c r="B43">
        <v>10000000</v>
      </c>
      <c r="C43">
        <v>3565</v>
      </c>
      <c r="D43">
        <v>280486</v>
      </c>
      <c r="E43">
        <v>0.35699999999999998</v>
      </c>
      <c r="H43">
        <v>5</v>
      </c>
      <c r="I43">
        <v>10000000</v>
      </c>
      <c r="J43">
        <v>3007</v>
      </c>
      <c r="K43">
        <v>332559</v>
      </c>
      <c r="L43">
        <v>0.30099999999999999</v>
      </c>
      <c r="P43">
        <v>5</v>
      </c>
      <c r="Q43">
        <v>10000000</v>
      </c>
      <c r="R43">
        <v>2506</v>
      </c>
      <c r="S43">
        <v>398984</v>
      </c>
      <c r="T43">
        <v>0.251</v>
      </c>
    </row>
    <row r="44" spans="1:20" x14ac:dyDescent="0.25">
      <c r="A44">
        <v>10</v>
      </c>
      <c r="B44">
        <v>10000000</v>
      </c>
      <c r="C44">
        <v>4688</v>
      </c>
      <c r="D44">
        <v>213290</v>
      </c>
      <c r="E44">
        <v>0.46899999999999997</v>
      </c>
      <c r="H44">
        <v>10</v>
      </c>
      <c r="I44">
        <v>10000000</v>
      </c>
      <c r="J44">
        <v>3809</v>
      </c>
      <c r="K44">
        <v>262569</v>
      </c>
      <c r="L44">
        <v>0.38100000000000001</v>
      </c>
      <c r="P44">
        <v>10</v>
      </c>
      <c r="Q44">
        <v>10000000</v>
      </c>
      <c r="R44">
        <v>3197</v>
      </c>
      <c r="S44">
        <v>312806</v>
      </c>
      <c r="T44">
        <v>0.32</v>
      </c>
    </row>
    <row r="45" spans="1:20" x14ac:dyDescent="0.25">
      <c r="A45">
        <v>12</v>
      </c>
      <c r="B45">
        <v>10000000</v>
      </c>
      <c r="C45">
        <v>5153</v>
      </c>
      <c r="D45">
        <v>194058</v>
      </c>
      <c r="E45">
        <v>0.51500000000000001</v>
      </c>
      <c r="H45">
        <v>12</v>
      </c>
      <c r="I45">
        <v>10000000</v>
      </c>
      <c r="J45">
        <v>4196</v>
      </c>
      <c r="K45">
        <v>238345</v>
      </c>
      <c r="L45">
        <v>0.42</v>
      </c>
      <c r="P45">
        <v>12</v>
      </c>
      <c r="Q45">
        <v>10000000</v>
      </c>
      <c r="R45">
        <v>3394</v>
      </c>
      <c r="S45">
        <v>294668</v>
      </c>
      <c r="T45">
        <v>0.33900000000000002</v>
      </c>
    </row>
    <row r="46" spans="1:20" x14ac:dyDescent="0.25">
      <c r="A46">
        <v>25</v>
      </c>
      <c r="B46">
        <v>10000000</v>
      </c>
      <c r="C46">
        <v>8308</v>
      </c>
      <c r="D46">
        <v>120361</v>
      </c>
      <c r="E46">
        <v>0.83099999999999996</v>
      </c>
      <c r="H46">
        <v>25</v>
      </c>
      <c r="I46">
        <v>10000000</v>
      </c>
      <c r="J46">
        <v>6500</v>
      </c>
      <c r="K46">
        <v>153850</v>
      </c>
      <c r="L46">
        <v>0.65</v>
      </c>
      <c r="P46">
        <v>25</v>
      </c>
      <c r="Q46">
        <v>10000000</v>
      </c>
      <c r="R46">
        <v>5247</v>
      </c>
      <c r="S46">
        <v>190572</v>
      </c>
      <c r="T46">
        <v>0.52500000000000002</v>
      </c>
    </row>
    <row r="47" spans="1:20" x14ac:dyDescent="0.25">
      <c r="A47">
        <v>50</v>
      </c>
      <c r="B47">
        <v>10000000</v>
      </c>
      <c r="C47">
        <v>14204</v>
      </c>
      <c r="D47">
        <v>70402</v>
      </c>
      <c r="E47">
        <v>1.42</v>
      </c>
      <c r="H47">
        <v>50</v>
      </c>
      <c r="I47">
        <v>10000000</v>
      </c>
      <c r="J47">
        <v>11022</v>
      </c>
      <c r="K47">
        <v>90727</v>
      </c>
      <c r="L47">
        <v>1.1020000000000001</v>
      </c>
      <c r="P47">
        <v>50</v>
      </c>
      <c r="Q47">
        <v>10000000</v>
      </c>
      <c r="R47">
        <v>8604</v>
      </c>
      <c r="S47">
        <v>116225</v>
      </c>
      <c r="T47">
        <v>0.86</v>
      </c>
    </row>
    <row r="48" spans="1:20" x14ac:dyDescent="0.25">
      <c r="A48">
        <v>75</v>
      </c>
      <c r="B48">
        <v>10000000</v>
      </c>
      <c r="C48">
        <v>20168</v>
      </c>
      <c r="D48">
        <v>49584</v>
      </c>
      <c r="E48">
        <v>2.0169999999999999</v>
      </c>
      <c r="H48">
        <v>75</v>
      </c>
      <c r="I48">
        <v>10000000</v>
      </c>
      <c r="J48">
        <v>15518</v>
      </c>
      <c r="K48">
        <v>64440</v>
      </c>
      <c r="L48">
        <v>1.552</v>
      </c>
      <c r="P48">
        <v>75</v>
      </c>
      <c r="Q48">
        <v>10000000</v>
      </c>
      <c r="R48">
        <v>12221</v>
      </c>
      <c r="S48">
        <v>81824</v>
      </c>
      <c r="T48">
        <v>1.222</v>
      </c>
    </row>
    <row r="49" spans="1:22" x14ac:dyDescent="0.25">
      <c r="A49">
        <v>100</v>
      </c>
      <c r="B49">
        <v>10000000</v>
      </c>
      <c r="C49">
        <v>26085</v>
      </c>
      <c r="D49">
        <v>38336</v>
      </c>
      <c r="E49">
        <v>2.609</v>
      </c>
      <c r="H49">
        <v>100</v>
      </c>
      <c r="I49">
        <v>10000000</v>
      </c>
      <c r="J49">
        <v>19731</v>
      </c>
      <c r="K49">
        <v>50682</v>
      </c>
      <c r="L49">
        <v>1.9730000000000001</v>
      </c>
      <c r="P49">
        <v>100</v>
      </c>
      <c r="Q49">
        <v>10000000</v>
      </c>
      <c r="R49">
        <v>15567</v>
      </c>
      <c r="S49">
        <v>64238</v>
      </c>
      <c r="T49">
        <v>1.5569999999999999</v>
      </c>
    </row>
    <row r="50" spans="1:22" x14ac:dyDescent="0.25">
      <c r="A50">
        <v>125</v>
      </c>
      <c r="B50">
        <v>10000000</v>
      </c>
      <c r="C50">
        <v>32091</v>
      </c>
      <c r="D50">
        <v>31162</v>
      </c>
      <c r="E50">
        <v>3.2090000000000001</v>
      </c>
      <c r="H50">
        <v>125</v>
      </c>
      <c r="I50">
        <v>10000000</v>
      </c>
      <c r="J50">
        <v>23904</v>
      </c>
      <c r="K50">
        <v>41834</v>
      </c>
      <c r="L50">
        <v>2.39</v>
      </c>
      <c r="P50">
        <v>125</v>
      </c>
      <c r="Q50">
        <v>10000000</v>
      </c>
      <c r="R50">
        <v>18813</v>
      </c>
      <c r="S50">
        <v>53154</v>
      </c>
      <c r="T50">
        <v>1.881</v>
      </c>
    </row>
    <row r="51" spans="1:22" x14ac:dyDescent="0.25">
      <c r="A51">
        <v>150</v>
      </c>
      <c r="B51">
        <v>10000000</v>
      </c>
      <c r="C51">
        <v>37708</v>
      </c>
      <c r="D51">
        <v>26520</v>
      </c>
      <c r="E51">
        <v>3.7709999999999999</v>
      </c>
      <c r="H51">
        <v>150</v>
      </c>
      <c r="I51">
        <v>10000000</v>
      </c>
      <c r="J51">
        <v>28072</v>
      </c>
      <c r="K51">
        <v>35623</v>
      </c>
      <c r="L51">
        <v>2.8069999999999999</v>
      </c>
      <c r="P51">
        <v>150</v>
      </c>
      <c r="Q51">
        <v>10000000</v>
      </c>
      <c r="R51">
        <v>22390</v>
      </c>
      <c r="S51">
        <v>44662</v>
      </c>
      <c r="T51">
        <v>2.2389999999999999</v>
      </c>
    </row>
    <row r="52" spans="1:22" x14ac:dyDescent="0.25">
      <c r="A52">
        <v>200</v>
      </c>
      <c r="B52">
        <v>10000000</v>
      </c>
      <c r="C52">
        <v>49177</v>
      </c>
      <c r="D52">
        <v>20335</v>
      </c>
      <c r="E52">
        <v>4.9180000000000001</v>
      </c>
      <c r="H52">
        <v>200</v>
      </c>
      <c r="I52">
        <v>10000000</v>
      </c>
      <c r="J52">
        <v>36848</v>
      </c>
      <c r="K52">
        <v>27138</v>
      </c>
      <c r="L52">
        <v>3.6850000000000001</v>
      </c>
      <c r="P52">
        <v>200</v>
      </c>
      <c r="Q52">
        <v>10000000</v>
      </c>
      <c r="R52">
        <v>28990</v>
      </c>
      <c r="S52">
        <v>34495</v>
      </c>
      <c r="T52">
        <v>2.899</v>
      </c>
    </row>
    <row r="53" spans="1:22" x14ac:dyDescent="0.25">
      <c r="A53">
        <v>400</v>
      </c>
      <c r="B53">
        <v>10000000</v>
      </c>
      <c r="C53">
        <v>96233</v>
      </c>
      <c r="D53">
        <v>10391</v>
      </c>
      <c r="E53">
        <v>9.6229999999999993</v>
      </c>
      <c r="H53">
        <v>400</v>
      </c>
      <c r="I53">
        <v>10000000</v>
      </c>
      <c r="J53">
        <v>71043</v>
      </c>
      <c r="K53">
        <v>14076</v>
      </c>
      <c r="L53">
        <v>7.1040000000000001</v>
      </c>
      <c r="P53">
        <v>400</v>
      </c>
      <c r="Q53">
        <v>10000000</v>
      </c>
      <c r="R53">
        <v>60353</v>
      </c>
      <c r="S53">
        <v>16569</v>
      </c>
      <c r="T53">
        <v>6.0350000000000001</v>
      </c>
    </row>
    <row r="54" spans="1:22" x14ac:dyDescent="0.25">
      <c r="A54">
        <v>600</v>
      </c>
      <c r="B54">
        <v>10000000</v>
      </c>
      <c r="C54">
        <v>142786</v>
      </c>
      <c r="D54">
        <v>7004</v>
      </c>
      <c r="E54">
        <v>14.279</v>
      </c>
      <c r="H54">
        <v>600</v>
      </c>
      <c r="I54">
        <v>10000000</v>
      </c>
      <c r="J54">
        <v>105959</v>
      </c>
      <c r="K54">
        <v>9438</v>
      </c>
      <c r="L54">
        <v>10.596</v>
      </c>
      <c r="P54">
        <v>600</v>
      </c>
      <c r="Q54">
        <v>10000000</v>
      </c>
      <c r="R54">
        <v>100720</v>
      </c>
      <c r="S54">
        <v>9929</v>
      </c>
      <c r="T54">
        <v>10.071999999999999</v>
      </c>
    </row>
    <row r="55" spans="1:22" x14ac:dyDescent="0.25">
      <c r="A55">
        <v>800</v>
      </c>
      <c r="B55">
        <v>10000000</v>
      </c>
      <c r="C55">
        <v>190221</v>
      </c>
      <c r="D55">
        <v>5257</v>
      </c>
      <c r="E55">
        <v>19.021999999999998</v>
      </c>
      <c r="H55">
        <v>800</v>
      </c>
      <c r="I55">
        <v>10000000</v>
      </c>
      <c r="J55">
        <v>141580</v>
      </c>
      <c r="K55">
        <v>7063</v>
      </c>
      <c r="L55">
        <v>14.157999999999999</v>
      </c>
      <c r="P55">
        <v>800</v>
      </c>
      <c r="Q55">
        <v>10000000</v>
      </c>
      <c r="R55">
        <v>115528</v>
      </c>
      <c r="S55">
        <v>8656</v>
      </c>
      <c r="T55">
        <v>11.553000000000001</v>
      </c>
    </row>
    <row r="56" spans="1:22" x14ac:dyDescent="0.25">
      <c r="A56">
        <v>1000</v>
      </c>
      <c r="B56">
        <v>10000000</v>
      </c>
      <c r="C56">
        <v>236539</v>
      </c>
      <c r="D56">
        <v>4228</v>
      </c>
      <c r="E56">
        <v>23.654</v>
      </c>
      <c r="H56">
        <v>1000</v>
      </c>
      <c r="I56">
        <v>10000000</v>
      </c>
      <c r="J56">
        <v>175961</v>
      </c>
      <c r="K56">
        <v>5683</v>
      </c>
      <c r="L56">
        <v>17.596</v>
      </c>
      <c r="P56">
        <v>1000</v>
      </c>
      <c r="Q56">
        <v>10000000</v>
      </c>
      <c r="R56">
        <v>138574</v>
      </c>
      <c r="S56">
        <v>7216</v>
      </c>
      <c r="T56">
        <v>13.856999999999999</v>
      </c>
    </row>
    <row r="60" spans="1:22" x14ac:dyDescent="0.25">
      <c r="O60" t="s">
        <v>15</v>
      </c>
    </row>
    <row r="63" spans="1:22" x14ac:dyDescent="0.25">
      <c r="J63" t="s">
        <v>20</v>
      </c>
      <c r="P63" t="s">
        <v>16</v>
      </c>
    </row>
    <row r="64" spans="1:22" x14ac:dyDescent="0.25">
      <c r="G64" t="s">
        <v>18</v>
      </c>
      <c r="H64" t="s">
        <v>22</v>
      </c>
      <c r="I64" t="s">
        <v>23</v>
      </c>
      <c r="J64" t="s">
        <v>19</v>
      </c>
      <c r="K64" t="s">
        <v>21</v>
      </c>
      <c r="O64" t="s">
        <v>17</v>
      </c>
      <c r="P64" t="s">
        <v>2</v>
      </c>
      <c r="Q64" t="s">
        <v>3</v>
      </c>
      <c r="R64" t="s">
        <v>4</v>
      </c>
      <c r="S64" t="s">
        <v>5</v>
      </c>
      <c r="T64" t="s">
        <v>7</v>
      </c>
      <c r="U64" t="s">
        <v>19</v>
      </c>
      <c r="V64" t="s">
        <v>21</v>
      </c>
    </row>
    <row r="65" spans="7:22" x14ac:dyDescent="0.25">
      <c r="G65">
        <v>1</v>
      </c>
      <c r="H65">
        <f>65</f>
        <v>65</v>
      </c>
      <c r="I65">
        <f>H65+G65-1</f>
        <v>65</v>
      </c>
      <c r="J65">
        <f ca="1">AVERAGE(INDIRECT("T"&amp;H65&amp;":T"&amp;I65))</f>
        <v>12.173</v>
      </c>
      <c r="K65">
        <f>V65</f>
        <v>0</v>
      </c>
      <c r="L65">
        <f ca="1">SUM(INDIRECT("S"&amp;H65&amp;":S"&amp;I65))</f>
        <v>82149</v>
      </c>
      <c r="O65">
        <v>1</v>
      </c>
      <c r="P65">
        <v>1000</v>
      </c>
      <c r="Q65">
        <v>1000000</v>
      </c>
      <c r="R65">
        <v>12173</v>
      </c>
      <c r="S65">
        <v>82149</v>
      </c>
      <c r="T65">
        <v>12.173</v>
      </c>
      <c r="U65">
        <f>AVERAGE(T65)</f>
        <v>12.173</v>
      </c>
    </row>
    <row r="66" spans="7:22" x14ac:dyDescent="0.25">
      <c r="G66">
        <v>2</v>
      </c>
      <c r="H66">
        <f>I65+2</f>
        <v>67</v>
      </c>
      <c r="I66">
        <f>H66+G66-1</f>
        <v>68</v>
      </c>
      <c r="J66">
        <f ca="1">AVERAGE(INDIRECT("T"&amp;H66&amp;":T"&amp;I66))</f>
        <v>12.045</v>
      </c>
      <c r="K66">
        <f>V67</f>
        <v>5.6568542494917573E-3</v>
      </c>
      <c r="L66">
        <f t="shared" ref="L66:L96" ca="1" si="0">SUM(INDIRECT("S"&amp;H66&amp;":S"&amp;I66))</f>
        <v>166045</v>
      </c>
    </row>
    <row r="67" spans="7:22" x14ac:dyDescent="0.25">
      <c r="G67">
        <v>3</v>
      </c>
      <c r="H67">
        <f t="shared" ref="H67:H96" si="1">I66+2</f>
        <v>70</v>
      </c>
      <c r="I67">
        <f t="shared" ref="I67:I68" si="2">H67+G67-1</f>
        <v>72</v>
      </c>
      <c r="J67">
        <f t="shared" ref="J67:J96" ca="1" si="3">AVERAGE(INDIRECT("T"&amp;H67&amp;":T"&amp;I67))</f>
        <v>12.382333333333333</v>
      </c>
      <c r="L67">
        <f t="shared" ca="1" si="0"/>
        <v>242281</v>
      </c>
      <c r="O67">
        <v>2</v>
      </c>
      <c r="P67">
        <v>1000</v>
      </c>
      <c r="Q67">
        <v>1000000</v>
      </c>
      <c r="R67">
        <v>12041</v>
      </c>
      <c r="S67">
        <v>83048</v>
      </c>
      <c r="T67">
        <v>12.041</v>
      </c>
      <c r="U67">
        <f>AVERAGE(T67:T68)</f>
        <v>12.045</v>
      </c>
      <c r="V67">
        <f>STDEV(T67:T68)</f>
        <v>5.6568542494917573E-3</v>
      </c>
    </row>
    <row r="68" spans="7:22" x14ac:dyDescent="0.25">
      <c r="G68">
        <v>4</v>
      </c>
      <c r="H68">
        <f t="shared" si="1"/>
        <v>74</v>
      </c>
      <c r="I68">
        <f t="shared" si="2"/>
        <v>77</v>
      </c>
      <c r="J68">
        <f t="shared" ca="1" si="3"/>
        <v>12.965</v>
      </c>
      <c r="L68">
        <f t="shared" ca="1" si="0"/>
        <v>308526</v>
      </c>
      <c r="P68">
        <v>1000</v>
      </c>
      <c r="Q68">
        <v>1000000</v>
      </c>
      <c r="R68">
        <v>12049</v>
      </c>
      <c r="S68">
        <v>82997</v>
      </c>
      <c r="T68">
        <v>12.048999999999999</v>
      </c>
    </row>
    <row r="69" spans="7:22" x14ac:dyDescent="0.25">
      <c r="G69">
        <v>5</v>
      </c>
      <c r="H69">
        <f t="shared" si="1"/>
        <v>79</v>
      </c>
      <c r="I69">
        <f t="shared" ref="I69:I96" si="4">H69+G69-1</f>
        <v>83</v>
      </c>
      <c r="J69">
        <f t="shared" ca="1" si="3"/>
        <v>14.701000000000002</v>
      </c>
      <c r="L69">
        <f t="shared" ca="1" si="0"/>
        <v>340120</v>
      </c>
    </row>
    <row r="70" spans="7:22" x14ac:dyDescent="0.25">
      <c r="G70">
        <v>6</v>
      </c>
      <c r="H70">
        <f t="shared" si="1"/>
        <v>85</v>
      </c>
      <c r="I70">
        <f t="shared" si="4"/>
        <v>90</v>
      </c>
      <c r="J70">
        <f t="shared" ca="1" si="3"/>
        <v>16.150833333333335</v>
      </c>
      <c r="L70">
        <f t="shared" ca="1" si="0"/>
        <v>371562</v>
      </c>
      <c r="O70">
        <v>3</v>
      </c>
      <c r="P70">
        <v>1000</v>
      </c>
      <c r="Q70">
        <v>1000000</v>
      </c>
      <c r="R70">
        <v>12381</v>
      </c>
      <c r="S70">
        <v>80772</v>
      </c>
      <c r="T70">
        <v>12.381</v>
      </c>
    </row>
    <row r="71" spans="7:22" x14ac:dyDescent="0.25">
      <c r="G71">
        <v>7</v>
      </c>
      <c r="H71">
        <f t="shared" si="1"/>
        <v>92</v>
      </c>
      <c r="I71">
        <f t="shared" si="4"/>
        <v>98</v>
      </c>
      <c r="J71">
        <f t="shared" ca="1" si="3"/>
        <v>17.266571428571428</v>
      </c>
      <c r="L71">
        <f t="shared" ca="1" si="0"/>
        <v>405633</v>
      </c>
      <c r="P71">
        <v>1000</v>
      </c>
      <c r="Q71">
        <v>1000000</v>
      </c>
      <c r="R71">
        <v>12384</v>
      </c>
      <c r="S71">
        <v>80750</v>
      </c>
      <c r="T71">
        <v>12.384</v>
      </c>
    </row>
    <row r="72" spans="7:22" x14ac:dyDescent="0.25">
      <c r="G72">
        <v>8</v>
      </c>
      <c r="H72">
        <f t="shared" si="1"/>
        <v>100</v>
      </c>
      <c r="I72">
        <f t="shared" si="4"/>
        <v>107</v>
      </c>
      <c r="J72">
        <f t="shared" ca="1" si="3"/>
        <v>18.364875000000001</v>
      </c>
      <c r="L72">
        <f t="shared" ca="1" si="0"/>
        <v>436074</v>
      </c>
      <c r="P72">
        <v>1000</v>
      </c>
      <c r="Q72">
        <v>1000000</v>
      </c>
      <c r="R72">
        <v>12382</v>
      </c>
      <c r="S72">
        <v>80759</v>
      </c>
      <c r="T72">
        <v>12.382</v>
      </c>
    </row>
    <row r="73" spans="7:22" x14ac:dyDescent="0.25">
      <c r="G73">
        <v>9</v>
      </c>
      <c r="H73">
        <f t="shared" si="1"/>
        <v>109</v>
      </c>
      <c r="I73">
        <f t="shared" si="4"/>
        <v>117</v>
      </c>
      <c r="J73">
        <f t="shared" ca="1" si="3"/>
        <v>19.462333333333333</v>
      </c>
      <c r="L73">
        <f t="shared" ca="1" si="0"/>
        <v>462511</v>
      </c>
    </row>
    <row r="74" spans="7:22" x14ac:dyDescent="0.25">
      <c r="G74">
        <v>10</v>
      </c>
      <c r="H74">
        <f t="shared" si="1"/>
        <v>119</v>
      </c>
      <c r="I74">
        <f t="shared" si="4"/>
        <v>128</v>
      </c>
      <c r="J74">
        <f t="shared" ca="1" si="3"/>
        <v>20.229700000000001</v>
      </c>
      <c r="L74">
        <f t="shared" ca="1" si="0"/>
        <v>494790</v>
      </c>
      <c r="O74">
        <v>4</v>
      </c>
      <c r="P74">
        <v>1000</v>
      </c>
      <c r="Q74">
        <v>1000000</v>
      </c>
      <c r="R74">
        <v>12950</v>
      </c>
      <c r="S74">
        <v>77222</v>
      </c>
      <c r="T74">
        <v>12.95</v>
      </c>
    </row>
    <row r="75" spans="7:22" x14ac:dyDescent="0.25">
      <c r="G75">
        <v>11</v>
      </c>
      <c r="H75">
        <f t="shared" si="1"/>
        <v>130</v>
      </c>
      <c r="I75">
        <f t="shared" si="4"/>
        <v>140</v>
      </c>
      <c r="J75">
        <f t="shared" ca="1" si="3"/>
        <v>21.552545454545452</v>
      </c>
      <c r="L75">
        <f t="shared" ca="1" si="0"/>
        <v>510445</v>
      </c>
      <c r="P75">
        <v>1000</v>
      </c>
      <c r="Q75">
        <v>1000000</v>
      </c>
      <c r="R75">
        <v>12951</v>
      </c>
      <c r="S75">
        <v>77215</v>
      </c>
      <c r="T75">
        <v>12.951000000000001</v>
      </c>
    </row>
    <row r="76" spans="7:22" x14ac:dyDescent="0.25">
      <c r="G76">
        <v>12</v>
      </c>
      <c r="H76">
        <f t="shared" si="1"/>
        <v>142</v>
      </c>
      <c r="I76">
        <f t="shared" si="4"/>
        <v>153</v>
      </c>
      <c r="J76">
        <f t="shared" ca="1" si="3"/>
        <v>23.001500000000004</v>
      </c>
      <c r="L76">
        <f t="shared" ca="1" si="0"/>
        <v>521803</v>
      </c>
      <c r="P76">
        <v>1000</v>
      </c>
      <c r="Q76">
        <v>1000000</v>
      </c>
      <c r="R76">
        <v>12978</v>
      </c>
      <c r="S76">
        <v>77056</v>
      </c>
      <c r="T76">
        <v>12.978</v>
      </c>
    </row>
    <row r="77" spans="7:22" x14ac:dyDescent="0.25">
      <c r="G77">
        <v>13</v>
      </c>
      <c r="H77">
        <f t="shared" si="1"/>
        <v>155</v>
      </c>
      <c r="I77">
        <f t="shared" si="4"/>
        <v>167</v>
      </c>
      <c r="J77">
        <f t="shared" ca="1" si="3"/>
        <v>24.557307692307688</v>
      </c>
      <c r="L77">
        <f t="shared" ca="1" si="0"/>
        <v>529396</v>
      </c>
      <c r="P77">
        <v>1000</v>
      </c>
      <c r="Q77">
        <v>1000000</v>
      </c>
      <c r="R77">
        <v>12981</v>
      </c>
      <c r="S77">
        <v>77033</v>
      </c>
      <c r="T77">
        <v>12.981</v>
      </c>
    </row>
    <row r="78" spans="7:22" x14ac:dyDescent="0.25">
      <c r="G78">
        <v>14</v>
      </c>
      <c r="H78">
        <f t="shared" si="1"/>
        <v>169</v>
      </c>
      <c r="I78">
        <f t="shared" si="4"/>
        <v>182</v>
      </c>
      <c r="J78">
        <f t="shared" ca="1" si="3"/>
        <v>26.063785714285718</v>
      </c>
      <c r="L78">
        <f t="shared" ca="1" si="0"/>
        <v>537149</v>
      </c>
    </row>
    <row r="79" spans="7:22" x14ac:dyDescent="0.25">
      <c r="G79">
        <v>15</v>
      </c>
      <c r="H79">
        <f t="shared" si="1"/>
        <v>184</v>
      </c>
      <c r="I79">
        <f t="shared" si="4"/>
        <v>198</v>
      </c>
      <c r="J79">
        <f t="shared" ca="1" si="3"/>
        <v>26.678400000000007</v>
      </c>
      <c r="L79">
        <f t="shared" ca="1" si="0"/>
        <v>562252</v>
      </c>
      <c r="O79">
        <v>5</v>
      </c>
      <c r="P79">
        <v>1000</v>
      </c>
      <c r="Q79">
        <v>1000000</v>
      </c>
      <c r="R79">
        <v>14551</v>
      </c>
      <c r="S79">
        <v>68723</v>
      </c>
      <c r="T79">
        <v>14.551</v>
      </c>
    </row>
    <row r="80" spans="7:22" x14ac:dyDescent="0.25">
      <c r="G80">
        <v>16</v>
      </c>
      <c r="H80">
        <f t="shared" si="1"/>
        <v>200</v>
      </c>
      <c r="I80">
        <f t="shared" si="4"/>
        <v>215</v>
      </c>
      <c r="J80">
        <f t="shared" ca="1" si="3"/>
        <v>28.099562500000005</v>
      </c>
      <c r="L80">
        <f t="shared" ca="1" si="0"/>
        <v>569454</v>
      </c>
      <c r="P80">
        <v>1000</v>
      </c>
      <c r="Q80">
        <v>1000000</v>
      </c>
      <c r="R80">
        <v>14684</v>
      </c>
      <c r="S80">
        <v>68100</v>
      </c>
      <c r="T80">
        <v>14.683999999999999</v>
      </c>
    </row>
    <row r="81" spans="7:20" x14ac:dyDescent="0.25">
      <c r="G81">
        <v>17</v>
      </c>
      <c r="H81">
        <f t="shared" si="1"/>
        <v>217</v>
      </c>
      <c r="I81">
        <f t="shared" si="4"/>
        <v>233</v>
      </c>
      <c r="J81">
        <f t="shared" ca="1" si="3"/>
        <v>29.40158823529412</v>
      </c>
      <c r="L81">
        <f t="shared" ca="1" si="0"/>
        <v>578239</v>
      </c>
      <c r="P81">
        <v>1000</v>
      </c>
      <c r="Q81">
        <v>1000000</v>
      </c>
      <c r="R81">
        <v>14724</v>
      </c>
      <c r="S81">
        <v>67915</v>
      </c>
      <c r="T81">
        <v>14.724</v>
      </c>
    </row>
    <row r="82" spans="7:20" x14ac:dyDescent="0.25">
      <c r="G82">
        <v>18</v>
      </c>
      <c r="H82">
        <f t="shared" si="1"/>
        <v>235</v>
      </c>
      <c r="I82">
        <f t="shared" si="4"/>
        <v>252</v>
      </c>
      <c r="J82">
        <f t="shared" ca="1" si="3"/>
        <v>30.844111111111108</v>
      </c>
      <c r="L82">
        <f t="shared" ca="1" si="0"/>
        <v>584175</v>
      </c>
      <c r="P82">
        <v>1000</v>
      </c>
      <c r="Q82">
        <v>1000000</v>
      </c>
      <c r="R82">
        <v>14749</v>
      </c>
      <c r="S82">
        <v>67800</v>
      </c>
      <c r="T82">
        <v>14.749000000000001</v>
      </c>
    </row>
    <row r="83" spans="7:20" x14ac:dyDescent="0.25">
      <c r="G83">
        <v>19</v>
      </c>
      <c r="H83">
        <f t="shared" si="1"/>
        <v>254</v>
      </c>
      <c r="I83">
        <f t="shared" si="4"/>
        <v>272</v>
      </c>
      <c r="J83">
        <f t="shared" ca="1" si="3"/>
        <v>32.07752631578947</v>
      </c>
      <c r="L83">
        <f t="shared" ca="1" si="0"/>
        <v>594255</v>
      </c>
      <c r="P83">
        <v>1000</v>
      </c>
      <c r="Q83">
        <v>1000000</v>
      </c>
      <c r="R83">
        <v>14797</v>
      </c>
      <c r="S83">
        <v>67582</v>
      </c>
      <c r="T83">
        <v>14.797000000000001</v>
      </c>
    </row>
    <row r="84" spans="7:20" x14ac:dyDescent="0.25">
      <c r="G84">
        <v>20</v>
      </c>
      <c r="H84">
        <f t="shared" si="1"/>
        <v>274</v>
      </c>
      <c r="I84">
        <f t="shared" si="4"/>
        <v>293</v>
      </c>
      <c r="J84">
        <f t="shared" ca="1" si="3"/>
        <v>34.183100000000003</v>
      </c>
      <c r="L84">
        <f t="shared" ca="1" si="0"/>
        <v>585800</v>
      </c>
    </row>
    <row r="85" spans="7:20" x14ac:dyDescent="0.25">
      <c r="G85">
        <v>21</v>
      </c>
      <c r="H85">
        <f t="shared" si="1"/>
        <v>295</v>
      </c>
      <c r="I85">
        <f t="shared" si="4"/>
        <v>315</v>
      </c>
      <c r="J85">
        <f t="shared" ca="1" si="3"/>
        <v>35.263999999999996</v>
      </c>
      <c r="L85">
        <f t="shared" ca="1" si="0"/>
        <v>607907</v>
      </c>
      <c r="O85">
        <v>6</v>
      </c>
      <c r="P85">
        <v>1000</v>
      </c>
      <c r="Q85">
        <v>1000000</v>
      </c>
      <c r="R85">
        <v>15723</v>
      </c>
      <c r="S85">
        <v>63602</v>
      </c>
      <c r="T85">
        <v>15.723000000000001</v>
      </c>
    </row>
    <row r="86" spans="7:20" x14ac:dyDescent="0.25">
      <c r="G86">
        <v>22</v>
      </c>
      <c r="H86">
        <f t="shared" si="1"/>
        <v>317</v>
      </c>
      <c r="I86">
        <f t="shared" si="4"/>
        <v>338</v>
      </c>
      <c r="J86">
        <f t="shared" ca="1" si="3"/>
        <v>38.356409090909089</v>
      </c>
      <c r="L86">
        <f t="shared" ca="1" si="0"/>
        <v>581039</v>
      </c>
      <c r="P86">
        <v>1000</v>
      </c>
      <c r="Q86">
        <v>1000000</v>
      </c>
      <c r="R86">
        <v>16122</v>
      </c>
      <c r="S86">
        <v>62027</v>
      </c>
      <c r="T86">
        <v>16.122</v>
      </c>
    </row>
    <row r="87" spans="7:20" x14ac:dyDescent="0.25">
      <c r="G87">
        <v>23</v>
      </c>
      <c r="H87">
        <f t="shared" si="1"/>
        <v>340</v>
      </c>
      <c r="I87">
        <f t="shared" si="4"/>
        <v>362</v>
      </c>
      <c r="J87">
        <f t="shared" ca="1" si="3"/>
        <v>42.028260869565223</v>
      </c>
      <c r="L87">
        <f t="shared" ca="1" si="0"/>
        <v>547460</v>
      </c>
      <c r="P87">
        <v>1000</v>
      </c>
      <c r="Q87">
        <v>1000000</v>
      </c>
      <c r="R87">
        <v>16174</v>
      </c>
      <c r="S87">
        <v>61829</v>
      </c>
      <c r="T87">
        <v>16.173999999999999</v>
      </c>
    </row>
    <row r="88" spans="7:20" x14ac:dyDescent="0.25">
      <c r="G88">
        <v>24</v>
      </c>
      <c r="H88">
        <f t="shared" si="1"/>
        <v>364</v>
      </c>
      <c r="I88">
        <f t="shared" si="4"/>
        <v>387</v>
      </c>
      <c r="J88">
        <f t="shared" ca="1" si="3"/>
        <v>42.452958333333335</v>
      </c>
      <c r="L88">
        <f t="shared" ca="1" si="0"/>
        <v>566602</v>
      </c>
      <c r="P88">
        <v>1000</v>
      </c>
      <c r="Q88">
        <v>1000000</v>
      </c>
      <c r="R88">
        <v>16196</v>
      </c>
      <c r="S88">
        <v>61745</v>
      </c>
      <c r="T88">
        <v>16.196000000000002</v>
      </c>
    </row>
    <row r="89" spans="7:20" x14ac:dyDescent="0.25">
      <c r="G89">
        <v>25</v>
      </c>
      <c r="H89">
        <f t="shared" si="1"/>
        <v>389</v>
      </c>
      <c r="I89">
        <f t="shared" si="4"/>
        <v>413</v>
      </c>
      <c r="J89">
        <f t="shared" ca="1" si="3"/>
        <v>42.382359999999998</v>
      </c>
      <c r="L89">
        <f t="shared" ca="1" si="0"/>
        <v>596038</v>
      </c>
      <c r="P89">
        <v>1000</v>
      </c>
      <c r="Q89">
        <v>1000000</v>
      </c>
      <c r="R89">
        <v>16306</v>
      </c>
      <c r="S89">
        <v>61325</v>
      </c>
      <c r="T89">
        <v>16.306000000000001</v>
      </c>
    </row>
    <row r="90" spans="7:20" x14ac:dyDescent="0.25">
      <c r="G90">
        <v>26</v>
      </c>
      <c r="H90">
        <f t="shared" si="1"/>
        <v>415</v>
      </c>
      <c r="I90">
        <f t="shared" si="4"/>
        <v>440</v>
      </c>
      <c r="J90">
        <f t="shared" ca="1" si="3"/>
        <v>44.295615384615388</v>
      </c>
      <c r="L90">
        <f t="shared" ca="1" si="0"/>
        <v>593042</v>
      </c>
      <c r="P90">
        <v>1000</v>
      </c>
      <c r="Q90">
        <v>1000000</v>
      </c>
      <c r="R90">
        <v>16384</v>
      </c>
      <c r="S90">
        <v>61034</v>
      </c>
      <c r="T90">
        <v>16.384</v>
      </c>
    </row>
    <row r="91" spans="7:20" x14ac:dyDescent="0.25">
      <c r="G91">
        <v>27</v>
      </c>
      <c r="H91">
        <f t="shared" si="1"/>
        <v>442</v>
      </c>
      <c r="I91">
        <f t="shared" si="4"/>
        <v>468</v>
      </c>
      <c r="J91">
        <f t="shared" ca="1" si="3"/>
        <v>46.354111111111116</v>
      </c>
      <c r="L91">
        <f t="shared" ca="1" si="0"/>
        <v>588443</v>
      </c>
    </row>
    <row r="92" spans="7:20" x14ac:dyDescent="0.25">
      <c r="G92">
        <v>28</v>
      </c>
      <c r="H92">
        <f t="shared" si="1"/>
        <v>470</v>
      </c>
      <c r="I92">
        <f t="shared" si="4"/>
        <v>497</v>
      </c>
      <c r="J92">
        <f t="shared" ca="1" si="3"/>
        <v>50.451107142857154</v>
      </c>
      <c r="L92">
        <f t="shared" ca="1" si="0"/>
        <v>555925</v>
      </c>
      <c r="O92">
        <v>7</v>
      </c>
      <c r="P92">
        <v>1000</v>
      </c>
      <c r="Q92">
        <v>1000000</v>
      </c>
      <c r="R92">
        <v>16626</v>
      </c>
      <c r="S92">
        <v>60145</v>
      </c>
      <c r="T92">
        <v>16.626000000000001</v>
      </c>
    </row>
    <row r="93" spans="7:20" x14ac:dyDescent="0.25">
      <c r="G93">
        <v>29</v>
      </c>
      <c r="H93">
        <f t="shared" si="1"/>
        <v>499</v>
      </c>
      <c r="I93">
        <f t="shared" si="4"/>
        <v>527</v>
      </c>
      <c r="J93">
        <f t="shared" ca="1" si="3"/>
        <v>53.76662068965517</v>
      </c>
      <c r="L93">
        <f t="shared" ca="1" si="0"/>
        <v>539608</v>
      </c>
      <c r="P93">
        <v>1000</v>
      </c>
      <c r="Q93">
        <v>1000000</v>
      </c>
      <c r="R93">
        <v>16734</v>
      </c>
      <c r="S93">
        <v>59757</v>
      </c>
      <c r="T93">
        <v>16.734000000000002</v>
      </c>
    </row>
    <row r="94" spans="7:20" x14ac:dyDescent="0.25">
      <c r="G94">
        <v>30</v>
      </c>
      <c r="H94">
        <f t="shared" si="1"/>
        <v>529</v>
      </c>
      <c r="I94">
        <f t="shared" si="4"/>
        <v>558</v>
      </c>
      <c r="J94">
        <f t="shared" ca="1" si="3"/>
        <v>55.85543333333333</v>
      </c>
      <c r="L94">
        <f t="shared" ca="1" si="0"/>
        <v>537250</v>
      </c>
      <c r="P94">
        <v>1000</v>
      </c>
      <c r="Q94">
        <v>1000000</v>
      </c>
      <c r="R94">
        <v>17233</v>
      </c>
      <c r="S94">
        <v>58029</v>
      </c>
      <c r="T94">
        <v>17.233000000000001</v>
      </c>
    </row>
    <row r="95" spans="7:20" x14ac:dyDescent="0.25">
      <c r="G95">
        <v>31</v>
      </c>
      <c r="H95">
        <f t="shared" si="1"/>
        <v>560</v>
      </c>
      <c r="I95">
        <f t="shared" si="4"/>
        <v>590</v>
      </c>
      <c r="J95">
        <f t="shared" ca="1" si="3"/>
        <v>54.98154838709678</v>
      </c>
      <c r="L95">
        <f t="shared" ca="1" si="0"/>
        <v>567601</v>
      </c>
      <c r="P95">
        <v>1000</v>
      </c>
      <c r="Q95">
        <v>1000000</v>
      </c>
      <c r="R95">
        <v>17419</v>
      </c>
      <c r="S95">
        <v>57409</v>
      </c>
      <c r="T95">
        <v>17.419</v>
      </c>
    </row>
    <row r="96" spans="7:20" x14ac:dyDescent="0.25">
      <c r="G96">
        <v>32</v>
      </c>
      <c r="H96">
        <f t="shared" si="1"/>
        <v>592</v>
      </c>
      <c r="I96">
        <f t="shared" si="4"/>
        <v>623</v>
      </c>
      <c r="J96">
        <f t="shared" ca="1" si="3"/>
        <v>59.969500000000011</v>
      </c>
      <c r="L96">
        <f t="shared" ca="1" si="0"/>
        <v>533610</v>
      </c>
      <c r="P96">
        <v>1000</v>
      </c>
      <c r="Q96">
        <v>1000000</v>
      </c>
      <c r="R96">
        <v>17491</v>
      </c>
      <c r="S96">
        <v>57173</v>
      </c>
      <c r="T96">
        <v>17.491</v>
      </c>
    </row>
    <row r="97" spans="15:20" x14ac:dyDescent="0.25">
      <c r="P97">
        <v>1000</v>
      </c>
      <c r="Q97">
        <v>1000000</v>
      </c>
      <c r="R97">
        <v>17518</v>
      </c>
      <c r="S97">
        <v>57083</v>
      </c>
      <c r="T97">
        <v>17.518000000000001</v>
      </c>
    </row>
    <row r="98" spans="15:20" x14ac:dyDescent="0.25">
      <c r="P98">
        <v>1000</v>
      </c>
      <c r="Q98">
        <v>1000000</v>
      </c>
      <c r="R98">
        <v>17845</v>
      </c>
      <c r="S98">
        <v>56037</v>
      </c>
      <c r="T98">
        <v>17.844999999999999</v>
      </c>
    </row>
    <row r="100" spans="15:20" x14ac:dyDescent="0.25">
      <c r="O100">
        <v>8</v>
      </c>
      <c r="P100">
        <v>1000</v>
      </c>
      <c r="Q100">
        <v>1000000</v>
      </c>
      <c r="R100">
        <v>17155</v>
      </c>
      <c r="S100">
        <v>58291</v>
      </c>
      <c r="T100">
        <v>17.155000000000001</v>
      </c>
    </row>
    <row r="101" spans="15:20" x14ac:dyDescent="0.25">
      <c r="P101">
        <v>1000</v>
      </c>
      <c r="Q101">
        <v>1000000</v>
      </c>
      <c r="R101">
        <v>18116</v>
      </c>
      <c r="S101">
        <v>55201</v>
      </c>
      <c r="T101">
        <v>18.116</v>
      </c>
    </row>
    <row r="102" spans="15:20" x14ac:dyDescent="0.25">
      <c r="P102">
        <v>1000</v>
      </c>
      <c r="Q102">
        <v>1000000</v>
      </c>
      <c r="R102">
        <v>18205</v>
      </c>
      <c r="S102">
        <v>54930</v>
      </c>
      <c r="T102">
        <v>18.204999999999998</v>
      </c>
    </row>
    <row r="103" spans="15:20" x14ac:dyDescent="0.25">
      <c r="P103">
        <v>1000</v>
      </c>
      <c r="Q103">
        <v>1000000</v>
      </c>
      <c r="R103">
        <v>18181</v>
      </c>
      <c r="S103">
        <v>55003</v>
      </c>
      <c r="T103">
        <v>18.181000000000001</v>
      </c>
    </row>
    <row r="104" spans="15:20" x14ac:dyDescent="0.25">
      <c r="P104">
        <v>1000</v>
      </c>
      <c r="Q104">
        <v>1000000</v>
      </c>
      <c r="R104">
        <v>18405</v>
      </c>
      <c r="S104">
        <v>54332</v>
      </c>
      <c r="T104">
        <v>18.405000000000001</v>
      </c>
    </row>
    <row r="105" spans="15:20" x14ac:dyDescent="0.25">
      <c r="P105">
        <v>1000</v>
      </c>
      <c r="Q105">
        <v>1000000</v>
      </c>
      <c r="R105">
        <v>18723</v>
      </c>
      <c r="S105">
        <v>53410</v>
      </c>
      <c r="T105">
        <v>18.722999999999999</v>
      </c>
    </row>
    <row r="106" spans="15:20" x14ac:dyDescent="0.25">
      <c r="P106">
        <v>1000</v>
      </c>
      <c r="Q106">
        <v>1000000</v>
      </c>
      <c r="R106">
        <v>18855</v>
      </c>
      <c r="S106">
        <v>53036</v>
      </c>
      <c r="T106">
        <v>18.855</v>
      </c>
    </row>
    <row r="107" spans="15:20" x14ac:dyDescent="0.25">
      <c r="P107">
        <v>1000</v>
      </c>
      <c r="Q107">
        <v>1000000</v>
      </c>
      <c r="R107">
        <v>19279</v>
      </c>
      <c r="S107">
        <v>51871</v>
      </c>
      <c r="T107">
        <v>19.279</v>
      </c>
    </row>
    <row r="109" spans="15:20" x14ac:dyDescent="0.25">
      <c r="O109">
        <v>9</v>
      </c>
      <c r="P109">
        <v>1000</v>
      </c>
      <c r="Q109">
        <v>1000000</v>
      </c>
      <c r="R109">
        <v>19141</v>
      </c>
      <c r="S109">
        <v>52243</v>
      </c>
      <c r="T109">
        <v>19.140999999999998</v>
      </c>
    </row>
    <row r="110" spans="15:20" x14ac:dyDescent="0.25">
      <c r="P110">
        <v>1000</v>
      </c>
      <c r="Q110">
        <v>1000000</v>
      </c>
      <c r="R110">
        <v>19191</v>
      </c>
      <c r="S110">
        <v>52107</v>
      </c>
      <c r="T110">
        <v>19.190999999999999</v>
      </c>
    </row>
    <row r="111" spans="15:20" x14ac:dyDescent="0.25">
      <c r="P111">
        <v>1000</v>
      </c>
      <c r="Q111">
        <v>1000000</v>
      </c>
      <c r="R111">
        <v>19220</v>
      </c>
      <c r="S111">
        <v>52030</v>
      </c>
      <c r="T111">
        <v>19.22</v>
      </c>
    </row>
    <row r="112" spans="15:20" x14ac:dyDescent="0.25">
      <c r="P112">
        <v>1000</v>
      </c>
      <c r="Q112">
        <v>1000000</v>
      </c>
      <c r="R112">
        <v>19373</v>
      </c>
      <c r="S112">
        <v>51619</v>
      </c>
      <c r="T112">
        <v>19.373000000000001</v>
      </c>
    </row>
    <row r="113" spans="15:20" x14ac:dyDescent="0.25">
      <c r="P113">
        <v>1000</v>
      </c>
      <c r="Q113">
        <v>1000000</v>
      </c>
      <c r="R113">
        <v>19496</v>
      </c>
      <c r="S113">
        <v>51292</v>
      </c>
      <c r="T113">
        <v>19.495999999999999</v>
      </c>
    </row>
    <row r="114" spans="15:20" x14ac:dyDescent="0.25">
      <c r="P114">
        <v>1000</v>
      </c>
      <c r="Q114">
        <v>1000000</v>
      </c>
      <c r="R114">
        <v>19494</v>
      </c>
      <c r="S114">
        <v>51299</v>
      </c>
      <c r="T114">
        <v>19.494</v>
      </c>
    </row>
    <row r="115" spans="15:20" x14ac:dyDescent="0.25">
      <c r="P115">
        <v>1000</v>
      </c>
      <c r="Q115">
        <v>1000000</v>
      </c>
      <c r="R115">
        <v>19558</v>
      </c>
      <c r="S115">
        <v>51130</v>
      </c>
      <c r="T115">
        <v>19.558</v>
      </c>
    </row>
    <row r="116" spans="15:20" x14ac:dyDescent="0.25">
      <c r="P116">
        <v>1000</v>
      </c>
      <c r="Q116">
        <v>1000000</v>
      </c>
      <c r="R116">
        <v>19691</v>
      </c>
      <c r="S116">
        <v>50785</v>
      </c>
      <c r="T116">
        <v>19.690999999999999</v>
      </c>
    </row>
    <row r="117" spans="15:20" x14ac:dyDescent="0.25">
      <c r="P117">
        <v>1000</v>
      </c>
      <c r="Q117">
        <v>1000000</v>
      </c>
      <c r="R117">
        <v>19997</v>
      </c>
      <c r="S117">
        <v>50006</v>
      </c>
      <c r="T117">
        <v>19.997</v>
      </c>
    </row>
    <row r="119" spans="15:20" x14ac:dyDescent="0.25">
      <c r="O119">
        <v>10</v>
      </c>
      <c r="P119">
        <v>1000</v>
      </c>
      <c r="Q119">
        <v>1000000</v>
      </c>
      <c r="R119">
        <v>18721</v>
      </c>
      <c r="S119">
        <v>53417</v>
      </c>
      <c r="T119">
        <v>18.721</v>
      </c>
    </row>
    <row r="120" spans="15:20" x14ac:dyDescent="0.25">
      <c r="P120">
        <v>1000</v>
      </c>
      <c r="Q120">
        <v>1000000</v>
      </c>
      <c r="R120">
        <v>19806</v>
      </c>
      <c r="S120">
        <v>50489</v>
      </c>
      <c r="T120">
        <v>19.806000000000001</v>
      </c>
    </row>
    <row r="121" spans="15:20" x14ac:dyDescent="0.25">
      <c r="P121">
        <v>1000</v>
      </c>
      <c r="Q121">
        <v>1000000</v>
      </c>
      <c r="R121">
        <v>20049</v>
      </c>
      <c r="S121">
        <v>49879</v>
      </c>
      <c r="T121">
        <v>20.048999999999999</v>
      </c>
    </row>
    <row r="122" spans="15:20" x14ac:dyDescent="0.25">
      <c r="P122">
        <v>1000</v>
      </c>
      <c r="Q122">
        <v>1000000</v>
      </c>
      <c r="R122">
        <v>20187</v>
      </c>
      <c r="S122">
        <v>49537</v>
      </c>
      <c r="T122">
        <v>20.187000000000001</v>
      </c>
    </row>
    <row r="123" spans="15:20" x14ac:dyDescent="0.25">
      <c r="P123">
        <v>1000</v>
      </c>
      <c r="Q123">
        <v>1000000</v>
      </c>
      <c r="R123">
        <v>20231</v>
      </c>
      <c r="S123">
        <v>49430</v>
      </c>
      <c r="T123">
        <v>20.231000000000002</v>
      </c>
    </row>
    <row r="124" spans="15:20" x14ac:dyDescent="0.25">
      <c r="P124">
        <v>1000</v>
      </c>
      <c r="Q124">
        <v>1000000</v>
      </c>
      <c r="R124">
        <v>20232</v>
      </c>
      <c r="S124">
        <v>49427</v>
      </c>
      <c r="T124">
        <v>20.231999999999999</v>
      </c>
    </row>
    <row r="125" spans="15:20" x14ac:dyDescent="0.25">
      <c r="P125">
        <v>1000</v>
      </c>
      <c r="Q125">
        <v>1000000</v>
      </c>
      <c r="R125">
        <v>20586</v>
      </c>
      <c r="S125">
        <v>48577</v>
      </c>
      <c r="T125">
        <v>20.585999999999999</v>
      </c>
    </row>
    <row r="126" spans="15:20" x14ac:dyDescent="0.25">
      <c r="P126">
        <v>1000</v>
      </c>
      <c r="Q126">
        <v>1000000</v>
      </c>
      <c r="R126">
        <v>20743</v>
      </c>
      <c r="S126">
        <v>48208</v>
      </c>
      <c r="T126">
        <v>20.742999999999999</v>
      </c>
    </row>
    <row r="127" spans="15:20" x14ac:dyDescent="0.25">
      <c r="P127">
        <v>1000</v>
      </c>
      <c r="Q127">
        <v>1000000</v>
      </c>
      <c r="R127">
        <v>20875</v>
      </c>
      <c r="S127">
        <v>47903</v>
      </c>
      <c r="T127">
        <v>20.875</v>
      </c>
    </row>
    <row r="128" spans="15:20" x14ac:dyDescent="0.25">
      <c r="P128">
        <v>1000</v>
      </c>
      <c r="Q128">
        <v>1000000</v>
      </c>
      <c r="R128">
        <v>20867</v>
      </c>
      <c r="S128">
        <v>47923</v>
      </c>
      <c r="T128">
        <v>20.867000000000001</v>
      </c>
    </row>
    <row r="130" spans="15:20" x14ac:dyDescent="0.25">
      <c r="O130">
        <v>11</v>
      </c>
      <c r="P130">
        <v>1000</v>
      </c>
      <c r="Q130">
        <v>1000000</v>
      </c>
      <c r="R130">
        <v>21179</v>
      </c>
      <c r="S130">
        <v>47217</v>
      </c>
      <c r="T130">
        <v>21.178999999999998</v>
      </c>
    </row>
    <row r="131" spans="15:20" x14ac:dyDescent="0.25">
      <c r="P131">
        <v>1000</v>
      </c>
      <c r="Q131">
        <v>1000000</v>
      </c>
      <c r="R131">
        <v>21296</v>
      </c>
      <c r="S131">
        <v>46958</v>
      </c>
      <c r="T131">
        <v>21.295999999999999</v>
      </c>
    </row>
    <row r="132" spans="15:20" x14ac:dyDescent="0.25">
      <c r="P132">
        <v>1000</v>
      </c>
      <c r="Q132">
        <v>1000000</v>
      </c>
      <c r="R132">
        <v>21369</v>
      </c>
      <c r="S132">
        <v>46797</v>
      </c>
      <c r="T132">
        <v>21.369</v>
      </c>
    </row>
    <row r="133" spans="15:20" x14ac:dyDescent="0.25">
      <c r="P133">
        <v>1000</v>
      </c>
      <c r="Q133">
        <v>1000000</v>
      </c>
      <c r="R133">
        <v>21391</v>
      </c>
      <c r="S133">
        <v>46749</v>
      </c>
      <c r="T133">
        <v>21.390999999999998</v>
      </c>
    </row>
    <row r="134" spans="15:20" x14ac:dyDescent="0.25">
      <c r="P134">
        <v>1000</v>
      </c>
      <c r="Q134">
        <v>1000000</v>
      </c>
      <c r="R134">
        <v>21424</v>
      </c>
      <c r="S134">
        <v>46676</v>
      </c>
      <c r="T134">
        <v>21.423999999999999</v>
      </c>
    </row>
    <row r="135" spans="15:20" x14ac:dyDescent="0.25">
      <c r="P135">
        <v>1000</v>
      </c>
      <c r="Q135">
        <v>1000000</v>
      </c>
      <c r="R135">
        <v>21477</v>
      </c>
      <c r="S135">
        <v>46561</v>
      </c>
      <c r="T135">
        <v>21.477</v>
      </c>
    </row>
    <row r="136" spans="15:20" x14ac:dyDescent="0.25">
      <c r="P136">
        <v>1000</v>
      </c>
      <c r="Q136">
        <v>1000000</v>
      </c>
      <c r="R136">
        <v>21661</v>
      </c>
      <c r="S136">
        <v>46167</v>
      </c>
      <c r="T136">
        <v>21.661000000000001</v>
      </c>
    </row>
    <row r="137" spans="15:20" x14ac:dyDescent="0.25">
      <c r="P137">
        <v>1000</v>
      </c>
      <c r="Q137">
        <v>1000000</v>
      </c>
      <c r="R137">
        <v>21684</v>
      </c>
      <c r="S137">
        <v>46116</v>
      </c>
      <c r="T137">
        <v>21.684000000000001</v>
      </c>
    </row>
    <row r="138" spans="15:20" x14ac:dyDescent="0.25">
      <c r="P138">
        <v>1000</v>
      </c>
      <c r="Q138">
        <v>1000000</v>
      </c>
      <c r="R138">
        <v>21797</v>
      </c>
      <c r="S138">
        <v>45878</v>
      </c>
      <c r="T138">
        <v>21.797000000000001</v>
      </c>
    </row>
    <row r="139" spans="15:20" x14ac:dyDescent="0.25">
      <c r="P139">
        <v>1000</v>
      </c>
      <c r="Q139">
        <v>1000000</v>
      </c>
      <c r="R139">
        <v>21809</v>
      </c>
      <c r="S139">
        <v>45853</v>
      </c>
      <c r="T139">
        <v>21.809000000000001</v>
      </c>
    </row>
    <row r="140" spans="15:20" x14ac:dyDescent="0.25">
      <c r="P140">
        <v>1000</v>
      </c>
      <c r="Q140">
        <v>1000000</v>
      </c>
      <c r="R140">
        <v>21991</v>
      </c>
      <c r="S140">
        <v>45473</v>
      </c>
      <c r="T140">
        <v>21.991</v>
      </c>
    </row>
    <row r="142" spans="15:20" x14ac:dyDescent="0.25">
      <c r="O142">
        <v>12</v>
      </c>
      <c r="P142">
        <v>1000</v>
      </c>
      <c r="Q142">
        <v>1000000</v>
      </c>
      <c r="R142">
        <v>22652</v>
      </c>
      <c r="S142">
        <v>44146</v>
      </c>
      <c r="T142">
        <v>22.652000000000001</v>
      </c>
    </row>
    <row r="143" spans="15:20" x14ac:dyDescent="0.25">
      <c r="P143">
        <v>1000</v>
      </c>
      <c r="Q143">
        <v>1000000</v>
      </c>
      <c r="R143">
        <v>22665</v>
      </c>
      <c r="S143">
        <v>44121</v>
      </c>
      <c r="T143">
        <v>22.664999999999999</v>
      </c>
    </row>
    <row r="144" spans="15:20" x14ac:dyDescent="0.25">
      <c r="P144">
        <v>1000</v>
      </c>
      <c r="Q144">
        <v>1000000</v>
      </c>
      <c r="R144">
        <v>22668</v>
      </c>
      <c r="S144">
        <v>44115</v>
      </c>
      <c r="T144">
        <v>22.667999999999999</v>
      </c>
    </row>
    <row r="145" spans="15:20" x14ac:dyDescent="0.25">
      <c r="P145">
        <v>1000</v>
      </c>
      <c r="Q145">
        <v>1000000</v>
      </c>
      <c r="R145">
        <v>22745</v>
      </c>
      <c r="S145">
        <v>43966</v>
      </c>
      <c r="T145">
        <v>22.745000000000001</v>
      </c>
    </row>
    <row r="146" spans="15:20" x14ac:dyDescent="0.25">
      <c r="P146">
        <v>1000</v>
      </c>
      <c r="Q146">
        <v>1000000</v>
      </c>
      <c r="R146">
        <v>22756</v>
      </c>
      <c r="S146">
        <v>43945</v>
      </c>
      <c r="T146">
        <v>22.756</v>
      </c>
    </row>
    <row r="147" spans="15:20" x14ac:dyDescent="0.25">
      <c r="P147">
        <v>1000</v>
      </c>
      <c r="Q147">
        <v>1000000</v>
      </c>
      <c r="R147">
        <v>22866</v>
      </c>
      <c r="S147">
        <v>43734</v>
      </c>
      <c r="T147">
        <v>22.866</v>
      </c>
    </row>
    <row r="148" spans="15:20" x14ac:dyDescent="0.25">
      <c r="P148">
        <v>1000</v>
      </c>
      <c r="Q148">
        <v>1000000</v>
      </c>
      <c r="R148">
        <v>23001</v>
      </c>
      <c r="S148">
        <v>43476</v>
      </c>
      <c r="T148">
        <v>23.001000000000001</v>
      </c>
    </row>
    <row r="149" spans="15:20" x14ac:dyDescent="0.25">
      <c r="P149">
        <v>1000</v>
      </c>
      <c r="Q149">
        <v>1000000</v>
      </c>
      <c r="R149">
        <v>23169</v>
      </c>
      <c r="S149">
        <v>43160</v>
      </c>
      <c r="T149">
        <v>23.169</v>
      </c>
    </row>
    <row r="150" spans="15:20" x14ac:dyDescent="0.25">
      <c r="P150">
        <v>1000</v>
      </c>
      <c r="Q150">
        <v>1000000</v>
      </c>
      <c r="R150">
        <v>23196</v>
      </c>
      <c r="S150">
        <v>43111</v>
      </c>
      <c r="T150">
        <v>23.196000000000002</v>
      </c>
    </row>
    <row r="151" spans="15:20" x14ac:dyDescent="0.25">
      <c r="P151">
        <v>1000</v>
      </c>
      <c r="Q151">
        <v>1000000</v>
      </c>
      <c r="R151">
        <v>23222</v>
      </c>
      <c r="S151">
        <v>43063</v>
      </c>
      <c r="T151">
        <v>23.222000000000001</v>
      </c>
    </row>
    <row r="152" spans="15:20" x14ac:dyDescent="0.25">
      <c r="P152">
        <v>1000</v>
      </c>
      <c r="Q152">
        <v>1000000</v>
      </c>
      <c r="R152">
        <v>23464</v>
      </c>
      <c r="S152">
        <v>42618</v>
      </c>
      <c r="T152">
        <v>23.463999999999999</v>
      </c>
    </row>
    <row r="153" spans="15:20" x14ac:dyDescent="0.25">
      <c r="P153">
        <v>1000</v>
      </c>
      <c r="Q153">
        <v>1000000</v>
      </c>
      <c r="R153">
        <v>23614</v>
      </c>
      <c r="S153">
        <v>42348</v>
      </c>
      <c r="T153">
        <v>23.614000000000001</v>
      </c>
    </row>
    <row r="155" spans="15:20" x14ac:dyDescent="0.25">
      <c r="O155">
        <v>13</v>
      </c>
      <c r="P155">
        <v>1000</v>
      </c>
      <c r="Q155">
        <v>1000000</v>
      </c>
      <c r="R155">
        <v>24345</v>
      </c>
      <c r="S155">
        <v>41077</v>
      </c>
      <c r="T155">
        <v>24.344999999999999</v>
      </c>
    </row>
    <row r="156" spans="15:20" x14ac:dyDescent="0.25">
      <c r="P156">
        <v>1000</v>
      </c>
      <c r="Q156">
        <v>1000000</v>
      </c>
      <c r="R156">
        <v>24355</v>
      </c>
      <c r="S156">
        <v>41059</v>
      </c>
      <c r="T156">
        <v>24.355</v>
      </c>
    </row>
    <row r="157" spans="15:20" x14ac:dyDescent="0.25">
      <c r="P157">
        <v>1000</v>
      </c>
      <c r="Q157">
        <v>1000000</v>
      </c>
      <c r="R157">
        <v>24425</v>
      </c>
      <c r="S157">
        <v>40942</v>
      </c>
      <c r="T157">
        <v>24.425000000000001</v>
      </c>
    </row>
    <row r="158" spans="15:20" x14ac:dyDescent="0.25">
      <c r="P158">
        <v>1000</v>
      </c>
      <c r="Q158">
        <v>1000000</v>
      </c>
      <c r="R158">
        <v>24471</v>
      </c>
      <c r="S158">
        <v>40864</v>
      </c>
      <c r="T158">
        <v>24.471</v>
      </c>
    </row>
    <row r="159" spans="15:20" x14ac:dyDescent="0.25">
      <c r="P159">
        <v>1000</v>
      </c>
      <c r="Q159">
        <v>1000000</v>
      </c>
      <c r="R159">
        <v>24411</v>
      </c>
      <c r="S159">
        <v>40965</v>
      </c>
      <c r="T159">
        <v>24.411000000000001</v>
      </c>
    </row>
    <row r="160" spans="15:20" x14ac:dyDescent="0.25">
      <c r="P160">
        <v>1000</v>
      </c>
      <c r="Q160">
        <v>1000000</v>
      </c>
      <c r="R160">
        <v>24492</v>
      </c>
      <c r="S160">
        <v>40829</v>
      </c>
      <c r="T160">
        <v>24.492000000000001</v>
      </c>
    </row>
    <row r="161" spans="15:20" x14ac:dyDescent="0.25">
      <c r="P161">
        <v>1000</v>
      </c>
      <c r="Q161">
        <v>1000000</v>
      </c>
      <c r="R161">
        <v>24532</v>
      </c>
      <c r="S161">
        <v>40762</v>
      </c>
      <c r="T161">
        <v>24.532</v>
      </c>
    </row>
    <row r="162" spans="15:20" x14ac:dyDescent="0.25">
      <c r="P162">
        <v>1000</v>
      </c>
      <c r="Q162">
        <v>1000000</v>
      </c>
      <c r="R162">
        <v>24594</v>
      </c>
      <c r="S162">
        <v>40660</v>
      </c>
      <c r="T162">
        <v>24.594000000000001</v>
      </c>
    </row>
    <row r="163" spans="15:20" x14ac:dyDescent="0.25">
      <c r="P163">
        <v>1000</v>
      </c>
      <c r="Q163">
        <v>1000000</v>
      </c>
      <c r="R163">
        <v>24611</v>
      </c>
      <c r="S163">
        <v>40632</v>
      </c>
      <c r="T163">
        <v>24.611000000000001</v>
      </c>
    </row>
    <row r="164" spans="15:20" x14ac:dyDescent="0.25">
      <c r="P164">
        <v>1000</v>
      </c>
      <c r="Q164">
        <v>1000000</v>
      </c>
      <c r="R164">
        <v>24571</v>
      </c>
      <c r="S164">
        <v>40698</v>
      </c>
      <c r="T164">
        <v>24.571000000000002</v>
      </c>
    </row>
    <row r="165" spans="15:20" x14ac:dyDescent="0.25">
      <c r="P165">
        <v>1000</v>
      </c>
      <c r="Q165">
        <v>1000000</v>
      </c>
      <c r="R165">
        <v>24746</v>
      </c>
      <c r="S165">
        <v>40411</v>
      </c>
      <c r="T165">
        <v>24.745999999999999</v>
      </c>
    </row>
    <row r="166" spans="15:20" x14ac:dyDescent="0.25">
      <c r="P166">
        <v>1000</v>
      </c>
      <c r="Q166">
        <v>1000000</v>
      </c>
      <c r="R166">
        <v>24833</v>
      </c>
      <c r="S166">
        <v>40270</v>
      </c>
      <c r="T166">
        <v>24.832999999999998</v>
      </c>
    </row>
    <row r="167" spans="15:20" x14ac:dyDescent="0.25">
      <c r="P167">
        <v>1000</v>
      </c>
      <c r="Q167">
        <v>1000000</v>
      </c>
      <c r="R167">
        <v>24859</v>
      </c>
      <c r="S167">
        <v>40227</v>
      </c>
      <c r="T167">
        <v>24.859000000000002</v>
      </c>
    </row>
    <row r="169" spans="15:20" x14ac:dyDescent="0.25">
      <c r="O169">
        <v>14</v>
      </c>
      <c r="P169">
        <v>1000</v>
      </c>
      <c r="Q169">
        <v>1000000</v>
      </c>
      <c r="R169">
        <v>25882</v>
      </c>
      <c r="S169">
        <v>38637</v>
      </c>
      <c r="T169">
        <v>25.882000000000001</v>
      </c>
    </row>
    <row r="170" spans="15:20" x14ac:dyDescent="0.25">
      <c r="P170">
        <v>1000</v>
      </c>
      <c r="Q170">
        <v>1000000</v>
      </c>
      <c r="R170">
        <v>25975</v>
      </c>
      <c r="S170">
        <v>38499</v>
      </c>
      <c r="T170">
        <v>25.975000000000001</v>
      </c>
    </row>
    <row r="171" spans="15:20" x14ac:dyDescent="0.25">
      <c r="P171">
        <v>1000</v>
      </c>
      <c r="Q171">
        <v>1000000</v>
      </c>
      <c r="R171">
        <v>26043</v>
      </c>
      <c r="S171">
        <v>38398</v>
      </c>
      <c r="T171">
        <v>26.042999999999999</v>
      </c>
    </row>
    <row r="172" spans="15:20" x14ac:dyDescent="0.25">
      <c r="P172">
        <v>1000</v>
      </c>
      <c r="Q172">
        <v>1000000</v>
      </c>
      <c r="R172">
        <v>26042</v>
      </c>
      <c r="S172">
        <v>38400</v>
      </c>
      <c r="T172">
        <v>26.042000000000002</v>
      </c>
    </row>
    <row r="173" spans="15:20" x14ac:dyDescent="0.25">
      <c r="P173">
        <v>1000</v>
      </c>
      <c r="Q173">
        <v>1000000</v>
      </c>
      <c r="R173">
        <v>26046</v>
      </c>
      <c r="S173">
        <v>38394</v>
      </c>
      <c r="T173">
        <v>26.045999999999999</v>
      </c>
    </row>
    <row r="174" spans="15:20" x14ac:dyDescent="0.25">
      <c r="P174">
        <v>1000</v>
      </c>
      <c r="Q174">
        <v>1000000</v>
      </c>
      <c r="R174">
        <v>26055</v>
      </c>
      <c r="S174">
        <v>38380</v>
      </c>
      <c r="T174">
        <v>26.055</v>
      </c>
    </row>
    <row r="175" spans="15:20" x14ac:dyDescent="0.25">
      <c r="P175">
        <v>1000</v>
      </c>
      <c r="Q175">
        <v>1000000</v>
      </c>
      <c r="R175">
        <v>26059</v>
      </c>
      <c r="S175">
        <v>38375</v>
      </c>
      <c r="T175">
        <v>26.059000000000001</v>
      </c>
    </row>
    <row r="176" spans="15:20" x14ac:dyDescent="0.25">
      <c r="P176">
        <v>1000</v>
      </c>
      <c r="Q176">
        <v>1000000</v>
      </c>
      <c r="R176">
        <v>26071</v>
      </c>
      <c r="S176">
        <v>38357</v>
      </c>
      <c r="T176">
        <v>26.071000000000002</v>
      </c>
    </row>
    <row r="177" spans="15:20" x14ac:dyDescent="0.25">
      <c r="P177">
        <v>1000</v>
      </c>
      <c r="Q177">
        <v>1000000</v>
      </c>
      <c r="R177">
        <v>26088</v>
      </c>
      <c r="S177">
        <v>38332</v>
      </c>
      <c r="T177">
        <v>26.088000000000001</v>
      </c>
    </row>
    <row r="178" spans="15:20" x14ac:dyDescent="0.25">
      <c r="P178">
        <v>1000</v>
      </c>
      <c r="Q178">
        <v>1000000</v>
      </c>
      <c r="R178">
        <v>26104</v>
      </c>
      <c r="S178">
        <v>38308</v>
      </c>
      <c r="T178">
        <v>26.103999999999999</v>
      </c>
    </row>
    <row r="179" spans="15:20" x14ac:dyDescent="0.25">
      <c r="P179">
        <v>1000</v>
      </c>
      <c r="Q179">
        <v>1000000</v>
      </c>
      <c r="R179">
        <v>26117</v>
      </c>
      <c r="S179">
        <v>38289</v>
      </c>
      <c r="T179">
        <v>26.117000000000001</v>
      </c>
    </row>
    <row r="180" spans="15:20" x14ac:dyDescent="0.25">
      <c r="P180">
        <v>1000</v>
      </c>
      <c r="Q180">
        <v>1000000</v>
      </c>
      <c r="R180">
        <v>26116</v>
      </c>
      <c r="S180">
        <v>38290</v>
      </c>
      <c r="T180">
        <v>26.116</v>
      </c>
    </row>
    <row r="181" spans="15:20" x14ac:dyDescent="0.25">
      <c r="P181">
        <v>1000</v>
      </c>
      <c r="Q181">
        <v>1000000</v>
      </c>
      <c r="R181">
        <v>26125</v>
      </c>
      <c r="S181">
        <v>38278</v>
      </c>
      <c r="T181">
        <v>26.125</v>
      </c>
    </row>
    <row r="182" spans="15:20" x14ac:dyDescent="0.25">
      <c r="P182">
        <v>1000</v>
      </c>
      <c r="Q182">
        <v>1000000</v>
      </c>
      <c r="R182">
        <v>26170</v>
      </c>
      <c r="S182">
        <v>38212</v>
      </c>
      <c r="T182">
        <v>26.17</v>
      </c>
    </row>
    <row r="184" spans="15:20" x14ac:dyDescent="0.25">
      <c r="O184">
        <v>15</v>
      </c>
      <c r="P184">
        <v>1000</v>
      </c>
      <c r="Q184">
        <v>1000000</v>
      </c>
      <c r="R184">
        <v>26570</v>
      </c>
      <c r="S184">
        <v>37637</v>
      </c>
      <c r="T184">
        <v>26.57</v>
      </c>
    </row>
    <row r="185" spans="15:20" x14ac:dyDescent="0.25">
      <c r="P185">
        <v>1000</v>
      </c>
      <c r="Q185">
        <v>1000000</v>
      </c>
      <c r="R185">
        <v>26594</v>
      </c>
      <c r="S185">
        <v>37602</v>
      </c>
      <c r="T185">
        <v>26.594000000000001</v>
      </c>
    </row>
    <row r="186" spans="15:20" x14ac:dyDescent="0.25">
      <c r="P186">
        <v>1000</v>
      </c>
      <c r="Q186">
        <v>1000000</v>
      </c>
      <c r="R186">
        <v>26617</v>
      </c>
      <c r="S186">
        <v>37569</v>
      </c>
      <c r="T186">
        <v>26.617000000000001</v>
      </c>
    </row>
    <row r="187" spans="15:20" x14ac:dyDescent="0.25">
      <c r="P187">
        <v>1000</v>
      </c>
      <c r="Q187">
        <v>1000000</v>
      </c>
      <c r="R187">
        <v>26640</v>
      </c>
      <c r="S187">
        <v>37537</v>
      </c>
      <c r="T187">
        <v>26.64</v>
      </c>
    </row>
    <row r="188" spans="15:20" x14ac:dyDescent="0.25">
      <c r="P188">
        <v>1000</v>
      </c>
      <c r="Q188">
        <v>1000000</v>
      </c>
      <c r="R188">
        <v>26659</v>
      </c>
      <c r="S188">
        <v>37510</v>
      </c>
      <c r="T188">
        <v>26.658999999999999</v>
      </c>
    </row>
    <row r="189" spans="15:20" x14ac:dyDescent="0.25">
      <c r="P189">
        <v>1000</v>
      </c>
      <c r="Q189">
        <v>1000000</v>
      </c>
      <c r="R189">
        <v>26679</v>
      </c>
      <c r="S189">
        <v>37482</v>
      </c>
      <c r="T189">
        <v>26.678999999999998</v>
      </c>
    </row>
    <row r="190" spans="15:20" x14ac:dyDescent="0.25">
      <c r="P190">
        <v>1000</v>
      </c>
      <c r="Q190">
        <v>1000000</v>
      </c>
      <c r="R190">
        <v>26687</v>
      </c>
      <c r="S190">
        <v>37471</v>
      </c>
      <c r="T190">
        <v>26.687000000000001</v>
      </c>
    </row>
    <row r="191" spans="15:20" x14ac:dyDescent="0.25">
      <c r="P191">
        <v>1000</v>
      </c>
      <c r="Q191">
        <v>1000000</v>
      </c>
      <c r="R191">
        <v>26691</v>
      </c>
      <c r="S191">
        <v>37466</v>
      </c>
      <c r="T191">
        <v>26.690999999999999</v>
      </c>
    </row>
    <row r="192" spans="15:20" x14ac:dyDescent="0.25">
      <c r="P192">
        <v>1000</v>
      </c>
      <c r="Q192">
        <v>1000000</v>
      </c>
      <c r="R192">
        <v>26666</v>
      </c>
      <c r="S192">
        <v>37501</v>
      </c>
      <c r="T192">
        <v>26.666</v>
      </c>
    </row>
    <row r="193" spans="15:20" x14ac:dyDescent="0.25">
      <c r="P193">
        <v>1000</v>
      </c>
      <c r="Q193">
        <v>1000000</v>
      </c>
      <c r="R193">
        <v>26700</v>
      </c>
      <c r="S193">
        <v>37453</v>
      </c>
      <c r="T193">
        <v>26.7</v>
      </c>
    </row>
    <row r="194" spans="15:20" x14ac:dyDescent="0.25">
      <c r="P194">
        <v>1000</v>
      </c>
      <c r="Q194">
        <v>1000000</v>
      </c>
      <c r="R194">
        <v>26706</v>
      </c>
      <c r="S194">
        <v>37445</v>
      </c>
      <c r="T194">
        <v>26.706</v>
      </c>
    </row>
    <row r="195" spans="15:20" x14ac:dyDescent="0.25">
      <c r="P195">
        <v>1000</v>
      </c>
      <c r="Q195">
        <v>1000000</v>
      </c>
      <c r="R195">
        <v>26708</v>
      </c>
      <c r="S195">
        <v>37442</v>
      </c>
      <c r="T195">
        <v>26.707999999999998</v>
      </c>
    </row>
    <row r="196" spans="15:20" x14ac:dyDescent="0.25">
      <c r="P196">
        <v>1000</v>
      </c>
      <c r="Q196">
        <v>1000000</v>
      </c>
      <c r="R196">
        <v>26720</v>
      </c>
      <c r="S196">
        <v>37425</v>
      </c>
      <c r="T196">
        <v>26.72</v>
      </c>
    </row>
    <row r="197" spans="15:20" x14ac:dyDescent="0.25">
      <c r="P197">
        <v>1000</v>
      </c>
      <c r="Q197">
        <v>1000000</v>
      </c>
      <c r="R197">
        <v>26766</v>
      </c>
      <c r="S197">
        <v>37361</v>
      </c>
      <c r="T197">
        <v>26.765999999999998</v>
      </c>
    </row>
    <row r="198" spans="15:20" x14ac:dyDescent="0.25">
      <c r="P198">
        <v>1000</v>
      </c>
      <c r="Q198">
        <v>1000000</v>
      </c>
      <c r="R198">
        <v>26773</v>
      </c>
      <c r="S198">
        <v>37351</v>
      </c>
      <c r="T198">
        <v>26.773</v>
      </c>
    </row>
    <row r="200" spans="15:20" x14ac:dyDescent="0.25">
      <c r="O200">
        <v>16</v>
      </c>
      <c r="P200">
        <v>1000</v>
      </c>
      <c r="Q200">
        <v>1000000</v>
      </c>
      <c r="R200">
        <v>27782</v>
      </c>
      <c r="S200">
        <v>35995</v>
      </c>
      <c r="T200">
        <v>27.782</v>
      </c>
    </row>
    <row r="201" spans="15:20" x14ac:dyDescent="0.25">
      <c r="P201">
        <v>1000</v>
      </c>
      <c r="Q201">
        <v>1000000</v>
      </c>
      <c r="R201">
        <v>27812</v>
      </c>
      <c r="S201">
        <v>35956</v>
      </c>
      <c r="T201">
        <v>27.812000000000001</v>
      </c>
    </row>
    <row r="202" spans="15:20" x14ac:dyDescent="0.25">
      <c r="P202">
        <v>1000</v>
      </c>
      <c r="Q202">
        <v>1000000</v>
      </c>
      <c r="R202">
        <v>27819</v>
      </c>
      <c r="S202">
        <v>35947</v>
      </c>
      <c r="T202">
        <v>27.818999999999999</v>
      </c>
    </row>
    <row r="203" spans="15:20" x14ac:dyDescent="0.25">
      <c r="P203">
        <v>1000</v>
      </c>
      <c r="Q203">
        <v>1000000</v>
      </c>
      <c r="R203">
        <v>27827</v>
      </c>
      <c r="S203">
        <v>35937</v>
      </c>
      <c r="T203">
        <v>27.827000000000002</v>
      </c>
    </row>
    <row r="204" spans="15:20" x14ac:dyDescent="0.25">
      <c r="P204">
        <v>1000</v>
      </c>
      <c r="Q204">
        <v>1000000</v>
      </c>
      <c r="R204">
        <v>27833</v>
      </c>
      <c r="S204">
        <v>35929</v>
      </c>
      <c r="T204">
        <v>27.832999999999998</v>
      </c>
    </row>
    <row r="205" spans="15:20" x14ac:dyDescent="0.25">
      <c r="P205">
        <v>1000</v>
      </c>
      <c r="Q205">
        <v>1000000</v>
      </c>
      <c r="R205">
        <v>27841</v>
      </c>
      <c r="S205">
        <v>35918</v>
      </c>
      <c r="T205">
        <v>27.841000000000001</v>
      </c>
    </row>
    <row r="206" spans="15:20" x14ac:dyDescent="0.25">
      <c r="P206">
        <v>1000</v>
      </c>
      <c r="Q206">
        <v>1000000</v>
      </c>
      <c r="R206">
        <v>27881</v>
      </c>
      <c r="S206">
        <v>35867</v>
      </c>
      <c r="T206">
        <v>27.881</v>
      </c>
    </row>
    <row r="207" spans="15:20" x14ac:dyDescent="0.25">
      <c r="P207">
        <v>1000</v>
      </c>
      <c r="Q207">
        <v>1000000</v>
      </c>
      <c r="R207">
        <v>27989</v>
      </c>
      <c r="S207">
        <v>35728</v>
      </c>
      <c r="T207">
        <v>27.989000000000001</v>
      </c>
    </row>
    <row r="208" spans="15:20" x14ac:dyDescent="0.25">
      <c r="P208">
        <v>1000</v>
      </c>
      <c r="Q208">
        <v>1000000</v>
      </c>
      <c r="R208">
        <v>28324</v>
      </c>
      <c r="S208">
        <v>35306</v>
      </c>
      <c r="T208">
        <v>28.324000000000002</v>
      </c>
    </row>
    <row r="209" spans="15:20" x14ac:dyDescent="0.25">
      <c r="P209">
        <v>1000</v>
      </c>
      <c r="Q209">
        <v>1000000</v>
      </c>
      <c r="R209">
        <v>28328</v>
      </c>
      <c r="S209">
        <v>35301</v>
      </c>
      <c r="T209">
        <v>28.327999999999999</v>
      </c>
    </row>
    <row r="210" spans="15:20" x14ac:dyDescent="0.25">
      <c r="P210">
        <v>1000</v>
      </c>
      <c r="Q210">
        <v>1000000</v>
      </c>
      <c r="R210">
        <v>28333</v>
      </c>
      <c r="S210">
        <v>35295</v>
      </c>
      <c r="T210">
        <v>28.332999999999998</v>
      </c>
    </row>
    <row r="211" spans="15:20" x14ac:dyDescent="0.25">
      <c r="P211">
        <v>1000</v>
      </c>
      <c r="Q211">
        <v>1000000</v>
      </c>
      <c r="R211">
        <v>28348</v>
      </c>
      <c r="S211">
        <v>35276</v>
      </c>
      <c r="T211">
        <v>28.347999999999999</v>
      </c>
    </row>
    <row r="212" spans="15:20" x14ac:dyDescent="0.25">
      <c r="P212">
        <v>1000</v>
      </c>
      <c r="Q212">
        <v>1000000</v>
      </c>
      <c r="R212">
        <v>28348</v>
      </c>
      <c r="S212">
        <v>35275</v>
      </c>
      <c r="T212">
        <v>28.347999999999999</v>
      </c>
    </row>
    <row r="213" spans="15:20" x14ac:dyDescent="0.25">
      <c r="P213">
        <v>1000</v>
      </c>
      <c r="Q213">
        <v>1000000</v>
      </c>
      <c r="R213">
        <v>28355</v>
      </c>
      <c r="S213">
        <v>35267</v>
      </c>
      <c r="T213">
        <v>28.355</v>
      </c>
    </row>
    <row r="214" spans="15:20" x14ac:dyDescent="0.25">
      <c r="P214">
        <v>1000</v>
      </c>
      <c r="Q214">
        <v>1000000</v>
      </c>
      <c r="R214">
        <v>28374</v>
      </c>
      <c r="S214">
        <v>35244</v>
      </c>
      <c r="T214">
        <v>28.373999999999999</v>
      </c>
    </row>
    <row r="215" spans="15:20" x14ac:dyDescent="0.25">
      <c r="P215">
        <v>1000</v>
      </c>
      <c r="Q215">
        <v>1000000</v>
      </c>
      <c r="R215">
        <v>28399</v>
      </c>
      <c r="S215">
        <v>35213</v>
      </c>
      <c r="T215">
        <v>28.399000000000001</v>
      </c>
    </row>
    <row r="217" spans="15:20" x14ac:dyDescent="0.25">
      <c r="O217">
        <v>17</v>
      </c>
      <c r="P217">
        <v>1000</v>
      </c>
      <c r="Q217">
        <v>1000000</v>
      </c>
      <c r="R217">
        <v>28628</v>
      </c>
      <c r="S217">
        <v>34931</v>
      </c>
      <c r="T217">
        <v>28.628</v>
      </c>
    </row>
    <row r="218" spans="15:20" x14ac:dyDescent="0.25">
      <c r="P218">
        <v>1000</v>
      </c>
      <c r="Q218">
        <v>1000000</v>
      </c>
      <c r="R218">
        <v>29290</v>
      </c>
      <c r="S218">
        <v>34142</v>
      </c>
      <c r="T218">
        <v>29.29</v>
      </c>
    </row>
    <row r="219" spans="15:20" x14ac:dyDescent="0.25">
      <c r="P219">
        <v>1000</v>
      </c>
      <c r="Q219">
        <v>1000000</v>
      </c>
      <c r="R219">
        <v>29318</v>
      </c>
      <c r="S219">
        <v>34109</v>
      </c>
      <c r="T219">
        <v>29.318000000000001</v>
      </c>
    </row>
    <row r="220" spans="15:20" x14ac:dyDescent="0.25">
      <c r="P220">
        <v>1000</v>
      </c>
      <c r="Q220">
        <v>1000000</v>
      </c>
      <c r="R220">
        <v>29342</v>
      </c>
      <c r="S220">
        <v>34080</v>
      </c>
      <c r="T220">
        <v>29.341999999999999</v>
      </c>
    </row>
    <row r="221" spans="15:20" x14ac:dyDescent="0.25">
      <c r="P221">
        <v>1000</v>
      </c>
      <c r="Q221">
        <v>1000000</v>
      </c>
      <c r="R221">
        <v>29346</v>
      </c>
      <c r="S221">
        <v>34076</v>
      </c>
      <c r="T221">
        <v>29.346</v>
      </c>
    </row>
    <row r="222" spans="15:20" x14ac:dyDescent="0.25">
      <c r="P222">
        <v>1000</v>
      </c>
      <c r="Q222">
        <v>1000000</v>
      </c>
      <c r="R222">
        <v>29337</v>
      </c>
      <c r="S222">
        <v>34087</v>
      </c>
      <c r="T222">
        <v>29.337</v>
      </c>
    </row>
    <row r="223" spans="15:20" x14ac:dyDescent="0.25">
      <c r="P223">
        <v>1000</v>
      </c>
      <c r="Q223">
        <v>1000000</v>
      </c>
      <c r="R223">
        <v>29378</v>
      </c>
      <c r="S223">
        <v>34039</v>
      </c>
      <c r="T223">
        <v>29.378</v>
      </c>
    </row>
    <row r="224" spans="15:20" x14ac:dyDescent="0.25">
      <c r="P224">
        <v>1000</v>
      </c>
      <c r="Q224">
        <v>1000000</v>
      </c>
      <c r="R224">
        <v>29384</v>
      </c>
      <c r="S224">
        <v>34032</v>
      </c>
      <c r="T224">
        <v>29.384</v>
      </c>
    </row>
    <row r="225" spans="16:20" x14ac:dyDescent="0.25">
      <c r="P225">
        <v>1000</v>
      </c>
      <c r="Q225">
        <v>1000000</v>
      </c>
      <c r="R225">
        <v>29412</v>
      </c>
      <c r="S225">
        <v>34000</v>
      </c>
      <c r="T225">
        <v>29.411999999999999</v>
      </c>
    </row>
    <row r="226" spans="16:20" x14ac:dyDescent="0.25">
      <c r="P226">
        <v>1000</v>
      </c>
      <c r="Q226">
        <v>1000000</v>
      </c>
      <c r="R226">
        <v>29411</v>
      </c>
      <c r="S226">
        <v>34001</v>
      </c>
      <c r="T226">
        <v>29.411000000000001</v>
      </c>
    </row>
    <row r="227" spans="16:20" x14ac:dyDescent="0.25">
      <c r="P227">
        <v>1000</v>
      </c>
      <c r="Q227">
        <v>1000000</v>
      </c>
      <c r="R227">
        <v>29421</v>
      </c>
      <c r="S227">
        <v>33989</v>
      </c>
      <c r="T227">
        <v>29.420999999999999</v>
      </c>
    </row>
    <row r="228" spans="16:20" x14ac:dyDescent="0.25">
      <c r="P228">
        <v>1000</v>
      </c>
      <c r="Q228">
        <v>1000000</v>
      </c>
      <c r="R228">
        <v>29438</v>
      </c>
      <c r="S228">
        <v>33970</v>
      </c>
      <c r="T228">
        <v>29.437999999999999</v>
      </c>
    </row>
    <row r="229" spans="16:20" x14ac:dyDescent="0.25">
      <c r="P229">
        <v>1000</v>
      </c>
      <c r="Q229">
        <v>1000000</v>
      </c>
      <c r="R229">
        <v>29439</v>
      </c>
      <c r="S229">
        <v>33968</v>
      </c>
      <c r="T229">
        <v>29.439</v>
      </c>
    </row>
    <row r="230" spans="16:20" x14ac:dyDescent="0.25">
      <c r="P230">
        <v>1000</v>
      </c>
      <c r="Q230">
        <v>1000000</v>
      </c>
      <c r="R230">
        <v>29523</v>
      </c>
      <c r="S230">
        <v>33872</v>
      </c>
      <c r="T230">
        <v>29.523</v>
      </c>
    </row>
    <row r="231" spans="16:20" x14ac:dyDescent="0.25">
      <c r="P231">
        <v>1000</v>
      </c>
      <c r="Q231">
        <v>1000000</v>
      </c>
      <c r="R231">
        <v>29595</v>
      </c>
      <c r="S231">
        <v>33789</v>
      </c>
      <c r="T231">
        <v>29.594999999999999</v>
      </c>
    </row>
    <row r="232" spans="16:20" x14ac:dyDescent="0.25">
      <c r="P232">
        <v>1000</v>
      </c>
      <c r="Q232">
        <v>1000000</v>
      </c>
      <c r="R232">
        <v>29715</v>
      </c>
      <c r="S232">
        <v>33653</v>
      </c>
      <c r="T232">
        <v>29.715</v>
      </c>
    </row>
    <row r="233" spans="16:20" x14ac:dyDescent="0.25">
      <c r="P233">
        <v>1000</v>
      </c>
      <c r="Q233">
        <v>1000000</v>
      </c>
      <c r="R233">
        <v>29850</v>
      </c>
      <c r="S233">
        <v>33501</v>
      </c>
      <c r="T233">
        <v>29.85</v>
      </c>
    </row>
    <row r="235" spans="16:20" x14ac:dyDescent="0.25">
      <c r="P235">
        <v>1000</v>
      </c>
      <c r="Q235">
        <v>1000000</v>
      </c>
      <c r="R235">
        <v>29682</v>
      </c>
      <c r="S235">
        <v>33691</v>
      </c>
      <c r="T235">
        <v>29.681999999999999</v>
      </c>
    </row>
    <row r="236" spans="16:20" x14ac:dyDescent="0.25">
      <c r="P236">
        <v>1000</v>
      </c>
      <c r="Q236">
        <v>1000000</v>
      </c>
      <c r="R236">
        <v>29705</v>
      </c>
      <c r="S236">
        <v>33664</v>
      </c>
      <c r="T236">
        <v>29.704999999999998</v>
      </c>
    </row>
    <row r="237" spans="16:20" x14ac:dyDescent="0.25">
      <c r="P237">
        <v>1000</v>
      </c>
      <c r="Q237">
        <v>1000000</v>
      </c>
      <c r="R237">
        <v>29740</v>
      </c>
      <c r="S237">
        <v>33625</v>
      </c>
      <c r="T237">
        <v>29.74</v>
      </c>
    </row>
    <row r="238" spans="16:20" x14ac:dyDescent="0.25">
      <c r="P238">
        <v>1000</v>
      </c>
      <c r="Q238">
        <v>1000000</v>
      </c>
      <c r="R238">
        <v>29752</v>
      </c>
      <c r="S238">
        <v>33611</v>
      </c>
      <c r="T238">
        <v>29.751999999999999</v>
      </c>
    </row>
    <row r="239" spans="16:20" x14ac:dyDescent="0.25">
      <c r="P239">
        <v>1000</v>
      </c>
      <c r="Q239">
        <v>1000000</v>
      </c>
      <c r="R239">
        <v>29731</v>
      </c>
      <c r="S239">
        <v>33635</v>
      </c>
      <c r="T239">
        <v>29.731000000000002</v>
      </c>
    </row>
    <row r="240" spans="16:20" x14ac:dyDescent="0.25">
      <c r="P240">
        <v>1000</v>
      </c>
      <c r="Q240">
        <v>1000000</v>
      </c>
      <c r="R240">
        <v>29762</v>
      </c>
      <c r="S240">
        <v>33600</v>
      </c>
      <c r="T240">
        <v>29.762</v>
      </c>
    </row>
    <row r="241" spans="16:20" x14ac:dyDescent="0.25">
      <c r="P241">
        <v>1000</v>
      </c>
      <c r="Q241">
        <v>1000000</v>
      </c>
      <c r="R241">
        <v>29796</v>
      </c>
      <c r="S241">
        <v>33561</v>
      </c>
      <c r="T241">
        <v>29.795999999999999</v>
      </c>
    </row>
    <row r="242" spans="16:20" x14ac:dyDescent="0.25">
      <c r="P242">
        <v>1000</v>
      </c>
      <c r="Q242">
        <v>1000000</v>
      </c>
      <c r="R242">
        <v>29832</v>
      </c>
      <c r="S242">
        <v>33521</v>
      </c>
      <c r="T242">
        <v>29.832000000000001</v>
      </c>
    </row>
    <row r="243" spans="16:20" x14ac:dyDescent="0.25">
      <c r="P243">
        <v>1000</v>
      </c>
      <c r="Q243">
        <v>1000000</v>
      </c>
      <c r="R243">
        <v>31597</v>
      </c>
      <c r="S243">
        <v>31648</v>
      </c>
      <c r="T243">
        <v>31.597000000000001</v>
      </c>
    </row>
    <row r="244" spans="16:20" x14ac:dyDescent="0.25">
      <c r="P244">
        <v>1000</v>
      </c>
      <c r="Q244">
        <v>1000000</v>
      </c>
      <c r="R244">
        <v>31648</v>
      </c>
      <c r="S244">
        <v>31598</v>
      </c>
      <c r="T244">
        <v>31.648</v>
      </c>
    </row>
    <row r="245" spans="16:20" x14ac:dyDescent="0.25">
      <c r="P245">
        <v>1000</v>
      </c>
      <c r="Q245">
        <v>1000000</v>
      </c>
      <c r="R245">
        <v>31671</v>
      </c>
      <c r="S245">
        <v>31575</v>
      </c>
      <c r="T245">
        <v>31.670999999999999</v>
      </c>
    </row>
    <row r="246" spans="16:20" x14ac:dyDescent="0.25">
      <c r="P246">
        <v>1000</v>
      </c>
      <c r="Q246">
        <v>1000000</v>
      </c>
      <c r="R246">
        <v>31683</v>
      </c>
      <c r="S246">
        <v>31563</v>
      </c>
      <c r="T246">
        <v>31.683</v>
      </c>
    </row>
    <row r="247" spans="16:20" x14ac:dyDescent="0.25">
      <c r="P247">
        <v>1000</v>
      </c>
      <c r="Q247">
        <v>1000000</v>
      </c>
      <c r="R247">
        <v>31698</v>
      </c>
      <c r="S247">
        <v>31548</v>
      </c>
      <c r="T247">
        <v>31.698</v>
      </c>
    </row>
    <row r="248" spans="16:20" x14ac:dyDescent="0.25">
      <c r="P248">
        <v>1000</v>
      </c>
      <c r="Q248">
        <v>1000000</v>
      </c>
      <c r="R248">
        <v>31711</v>
      </c>
      <c r="S248">
        <v>31535</v>
      </c>
      <c r="T248">
        <v>31.710999999999999</v>
      </c>
    </row>
    <row r="249" spans="16:20" x14ac:dyDescent="0.25">
      <c r="P249">
        <v>1000</v>
      </c>
      <c r="Q249">
        <v>1000000</v>
      </c>
      <c r="R249">
        <v>31767</v>
      </c>
      <c r="S249">
        <v>31480</v>
      </c>
      <c r="T249">
        <v>31.766999999999999</v>
      </c>
    </row>
    <row r="250" spans="16:20" x14ac:dyDescent="0.25">
      <c r="P250">
        <v>1000</v>
      </c>
      <c r="Q250">
        <v>1000000</v>
      </c>
      <c r="R250">
        <v>31782</v>
      </c>
      <c r="S250">
        <v>31464</v>
      </c>
      <c r="T250">
        <v>31.782</v>
      </c>
    </row>
    <row r="251" spans="16:20" x14ac:dyDescent="0.25">
      <c r="P251">
        <v>1000</v>
      </c>
      <c r="Q251">
        <v>1000000</v>
      </c>
      <c r="R251">
        <v>31786</v>
      </c>
      <c r="S251">
        <v>31460</v>
      </c>
      <c r="T251">
        <v>31.786000000000001</v>
      </c>
    </row>
    <row r="252" spans="16:20" x14ac:dyDescent="0.25">
      <c r="P252">
        <v>1000</v>
      </c>
      <c r="Q252">
        <v>1000000</v>
      </c>
      <c r="R252">
        <v>31851</v>
      </c>
      <c r="S252">
        <v>31396</v>
      </c>
      <c r="T252">
        <v>31.850999999999999</v>
      </c>
    </row>
    <row r="254" spans="16:20" x14ac:dyDescent="0.25">
      <c r="P254">
        <v>1000</v>
      </c>
      <c r="Q254">
        <v>1000000</v>
      </c>
      <c r="R254">
        <v>29844</v>
      </c>
      <c r="S254">
        <v>33508</v>
      </c>
      <c r="T254">
        <v>29.844000000000001</v>
      </c>
    </row>
    <row r="255" spans="16:20" x14ac:dyDescent="0.25">
      <c r="P255">
        <v>1000</v>
      </c>
      <c r="Q255">
        <v>1000000</v>
      </c>
      <c r="R255">
        <v>29920</v>
      </c>
      <c r="S255">
        <v>33423</v>
      </c>
      <c r="T255">
        <v>29.92</v>
      </c>
    </row>
    <row r="256" spans="16:20" x14ac:dyDescent="0.25">
      <c r="P256">
        <v>1000</v>
      </c>
      <c r="Q256">
        <v>1000000</v>
      </c>
      <c r="R256">
        <v>29937</v>
      </c>
      <c r="S256">
        <v>33404</v>
      </c>
      <c r="T256">
        <v>29.937000000000001</v>
      </c>
    </row>
    <row r="257" spans="16:20" x14ac:dyDescent="0.25">
      <c r="P257">
        <v>1000</v>
      </c>
      <c r="Q257">
        <v>1000000</v>
      </c>
      <c r="R257">
        <v>29947</v>
      </c>
      <c r="S257">
        <v>33392</v>
      </c>
      <c r="T257">
        <v>29.946999999999999</v>
      </c>
    </row>
    <row r="258" spans="16:20" x14ac:dyDescent="0.25">
      <c r="P258">
        <v>1000</v>
      </c>
      <c r="Q258">
        <v>1000000</v>
      </c>
      <c r="R258">
        <v>29959</v>
      </c>
      <c r="S258">
        <v>33379</v>
      </c>
      <c r="T258">
        <v>29.959</v>
      </c>
    </row>
    <row r="259" spans="16:20" x14ac:dyDescent="0.25">
      <c r="P259">
        <v>1000</v>
      </c>
      <c r="Q259">
        <v>1000000</v>
      </c>
      <c r="R259">
        <v>29985</v>
      </c>
      <c r="S259">
        <v>33350</v>
      </c>
      <c r="T259">
        <v>29.984999999999999</v>
      </c>
    </row>
    <row r="260" spans="16:20" x14ac:dyDescent="0.25">
      <c r="P260">
        <v>1000</v>
      </c>
      <c r="Q260">
        <v>1000000</v>
      </c>
      <c r="R260">
        <v>29994</v>
      </c>
      <c r="S260">
        <v>33340</v>
      </c>
      <c r="T260">
        <v>29.994</v>
      </c>
    </row>
    <row r="261" spans="16:20" x14ac:dyDescent="0.25">
      <c r="P261">
        <v>1000</v>
      </c>
      <c r="Q261">
        <v>1000000</v>
      </c>
      <c r="R261">
        <v>30023</v>
      </c>
      <c r="S261">
        <v>33307</v>
      </c>
      <c r="T261">
        <v>30.023</v>
      </c>
    </row>
    <row r="262" spans="16:20" x14ac:dyDescent="0.25">
      <c r="P262">
        <v>1000</v>
      </c>
      <c r="Q262">
        <v>1000000</v>
      </c>
      <c r="R262">
        <v>33410</v>
      </c>
      <c r="S262">
        <v>29931</v>
      </c>
      <c r="T262">
        <v>33.409999999999997</v>
      </c>
    </row>
    <row r="263" spans="16:20" x14ac:dyDescent="0.25">
      <c r="P263">
        <v>1000</v>
      </c>
      <c r="Q263">
        <v>1000000</v>
      </c>
      <c r="R263">
        <v>33488</v>
      </c>
      <c r="S263">
        <v>29862</v>
      </c>
      <c r="T263">
        <v>33.488</v>
      </c>
    </row>
    <row r="264" spans="16:20" x14ac:dyDescent="0.25">
      <c r="P264">
        <v>1000</v>
      </c>
      <c r="Q264">
        <v>1000000</v>
      </c>
      <c r="R264">
        <v>33567</v>
      </c>
      <c r="S264">
        <v>29791</v>
      </c>
      <c r="T264">
        <v>33.567</v>
      </c>
    </row>
    <row r="265" spans="16:20" x14ac:dyDescent="0.25">
      <c r="P265">
        <v>1000</v>
      </c>
      <c r="Q265">
        <v>1000000</v>
      </c>
      <c r="R265">
        <v>33599</v>
      </c>
      <c r="S265">
        <v>29763</v>
      </c>
      <c r="T265">
        <v>33.598999999999997</v>
      </c>
    </row>
    <row r="266" spans="16:20" x14ac:dyDescent="0.25">
      <c r="P266">
        <v>1000</v>
      </c>
      <c r="Q266">
        <v>1000000</v>
      </c>
      <c r="R266">
        <v>33604</v>
      </c>
      <c r="S266">
        <v>29758</v>
      </c>
      <c r="T266">
        <v>33.603999999999999</v>
      </c>
    </row>
    <row r="267" spans="16:20" x14ac:dyDescent="0.25">
      <c r="P267">
        <v>1000</v>
      </c>
      <c r="Q267">
        <v>1000000</v>
      </c>
      <c r="R267">
        <v>33619</v>
      </c>
      <c r="S267">
        <v>29745</v>
      </c>
      <c r="T267">
        <v>33.619</v>
      </c>
    </row>
    <row r="268" spans="16:20" x14ac:dyDescent="0.25">
      <c r="P268">
        <v>1000</v>
      </c>
      <c r="Q268">
        <v>1000000</v>
      </c>
      <c r="R268">
        <v>33640</v>
      </c>
      <c r="S268">
        <v>29727</v>
      </c>
      <c r="T268">
        <v>33.64</v>
      </c>
    </row>
    <row r="269" spans="16:20" x14ac:dyDescent="0.25">
      <c r="P269">
        <v>1000</v>
      </c>
      <c r="Q269">
        <v>1000000</v>
      </c>
      <c r="R269">
        <v>33652</v>
      </c>
      <c r="S269">
        <v>29716</v>
      </c>
      <c r="T269">
        <v>33.652000000000001</v>
      </c>
    </row>
    <row r="270" spans="16:20" x14ac:dyDescent="0.25">
      <c r="P270">
        <v>1000</v>
      </c>
      <c r="Q270">
        <v>1000000</v>
      </c>
      <c r="R270">
        <v>33674</v>
      </c>
      <c r="S270">
        <v>29696</v>
      </c>
      <c r="T270">
        <v>33.673999999999999</v>
      </c>
    </row>
    <row r="271" spans="16:20" x14ac:dyDescent="0.25">
      <c r="P271">
        <v>1000</v>
      </c>
      <c r="Q271">
        <v>1000000</v>
      </c>
      <c r="R271">
        <v>33701</v>
      </c>
      <c r="S271">
        <v>29673</v>
      </c>
      <c r="T271">
        <v>33.701000000000001</v>
      </c>
    </row>
    <row r="272" spans="16:20" x14ac:dyDescent="0.25">
      <c r="P272">
        <v>1000</v>
      </c>
      <c r="Q272">
        <v>1000000</v>
      </c>
      <c r="R272">
        <v>33910</v>
      </c>
      <c r="S272">
        <v>29490</v>
      </c>
      <c r="T272">
        <v>33.909999999999997</v>
      </c>
    </row>
    <row r="274" spans="16:20" x14ac:dyDescent="0.25">
      <c r="P274">
        <v>1000</v>
      </c>
      <c r="Q274">
        <v>1000000</v>
      </c>
      <c r="R274">
        <v>32787</v>
      </c>
      <c r="S274">
        <v>30500</v>
      </c>
      <c r="T274">
        <v>32.786999999999999</v>
      </c>
    </row>
    <row r="275" spans="16:20" x14ac:dyDescent="0.25">
      <c r="P275">
        <v>1000</v>
      </c>
      <c r="Q275">
        <v>1000000</v>
      </c>
      <c r="R275">
        <v>32812</v>
      </c>
      <c r="S275">
        <v>30477</v>
      </c>
      <c r="T275">
        <v>32.811999999999998</v>
      </c>
    </row>
    <row r="276" spans="16:20" x14ac:dyDescent="0.25">
      <c r="P276">
        <v>1000</v>
      </c>
      <c r="Q276">
        <v>1000000</v>
      </c>
      <c r="R276">
        <v>32813</v>
      </c>
      <c r="S276">
        <v>30475</v>
      </c>
      <c r="T276">
        <v>32.813000000000002</v>
      </c>
    </row>
    <row r="277" spans="16:20" x14ac:dyDescent="0.25">
      <c r="P277">
        <v>1000</v>
      </c>
      <c r="Q277">
        <v>1000000</v>
      </c>
      <c r="R277">
        <v>32842</v>
      </c>
      <c r="S277">
        <v>30448</v>
      </c>
      <c r="T277">
        <v>32.841999999999999</v>
      </c>
    </row>
    <row r="278" spans="16:20" x14ac:dyDescent="0.25">
      <c r="P278">
        <v>1000</v>
      </c>
      <c r="Q278">
        <v>1000000</v>
      </c>
      <c r="R278">
        <v>32868</v>
      </c>
      <c r="S278">
        <v>30425</v>
      </c>
      <c r="T278">
        <v>32.868000000000002</v>
      </c>
    </row>
    <row r="279" spans="16:20" x14ac:dyDescent="0.25">
      <c r="P279">
        <v>1000</v>
      </c>
      <c r="Q279">
        <v>1000000</v>
      </c>
      <c r="R279">
        <v>32877</v>
      </c>
      <c r="S279">
        <v>30416</v>
      </c>
      <c r="T279">
        <v>32.877000000000002</v>
      </c>
    </row>
    <row r="280" spans="16:20" x14ac:dyDescent="0.25">
      <c r="P280">
        <v>1000</v>
      </c>
      <c r="Q280">
        <v>1000000</v>
      </c>
      <c r="R280">
        <v>32881</v>
      </c>
      <c r="S280">
        <v>30413</v>
      </c>
      <c r="T280">
        <v>32.881</v>
      </c>
    </row>
    <row r="281" spans="16:20" x14ac:dyDescent="0.25">
      <c r="P281">
        <v>1000</v>
      </c>
      <c r="Q281">
        <v>1000000</v>
      </c>
      <c r="R281">
        <v>32963</v>
      </c>
      <c r="S281">
        <v>30337</v>
      </c>
      <c r="T281">
        <v>32.963000000000001</v>
      </c>
    </row>
    <row r="282" spans="16:20" x14ac:dyDescent="0.25">
      <c r="P282">
        <v>1000</v>
      </c>
      <c r="Q282">
        <v>1000000</v>
      </c>
      <c r="R282">
        <v>32969</v>
      </c>
      <c r="S282">
        <v>30331</v>
      </c>
      <c r="T282">
        <v>32.969000000000001</v>
      </c>
    </row>
    <row r="283" spans="16:20" x14ac:dyDescent="0.25">
      <c r="P283">
        <v>1000</v>
      </c>
      <c r="Q283">
        <v>1000000</v>
      </c>
      <c r="R283">
        <v>35055</v>
      </c>
      <c r="S283">
        <v>28527</v>
      </c>
      <c r="T283">
        <v>35.055</v>
      </c>
    </row>
    <row r="284" spans="16:20" x14ac:dyDescent="0.25">
      <c r="P284">
        <v>1000</v>
      </c>
      <c r="Q284">
        <v>1000000</v>
      </c>
      <c r="R284">
        <v>35071</v>
      </c>
      <c r="S284">
        <v>28513</v>
      </c>
      <c r="T284">
        <v>35.070999999999998</v>
      </c>
    </row>
    <row r="285" spans="16:20" x14ac:dyDescent="0.25">
      <c r="P285">
        <v>1000</v>
      </c>
      <c r="Q285">
        <v>1000000</v>
      </c>
      <c r="R285">
        <v>35238</v>
      </c>
      <c r="S285">
        <v>28378</v>
      </c>
      <c r="T285">
        <v>35.238</v>
      </c>
    </row>
    <row r="286" spans="16:20" x14ac:dyDescent="0.25">
      <c r="P286">
        <v>1000</v>
      </c>
      <c r="Q286">
        <v>1000000</v>
      </c>
      <c r="R286">
        <v>35274</v>
      </c>
      <c r="S286">
        <v>28350</v>
      </c>
      <c r="T286">
        <v>35.274000000000001</v>
      </c>
    </row>
    <row r="287" spans="16:20" x14ac:dyDescent="0.25">
      <c r="P287">
        <v>1000</v>
      </c>
      <c r="Q287">
        <v>1000000</v>
      </c>
      <c r="R287">
        <v>35278</v>
      </c>
      <c r="S287">
        <v>28346</v>
      </c>
      <c r="T287">
        <v>35.277999999999999</v>
      </c>
    </row>
    <row r="288" spans="16:20" x14ac:dyDescent="0.25">
      <c r="P288">
        <v>1000</v>
      </c>
      <c r="Q288">
        <v>1000000</v>
      </c>
      <c r="R288">
        <v>35283</v>
      </c>
      <c r="S288">
        <v>28342</v>
      </c>
      <c r="T288">
        <v>35.283000000000001</v>
      </c>
    </row>
    <row r="289" spans="16:20" x14ac:dyDescent="0.25">
      <c r="P289">
        <v>1000</v>
      </c>
      <c r="Q289">
        <v>1000000</v>
      </c>
      <c r="R289">
        <v>35283</v>
      </c>
      <c r="S289">
        <v>28343</v>
      </c>
      <c r="T289">
        <v>35.283000000000001</v>
      </c>
    </row>
    <row r="290" spans="16:20" x14ac:dyDescent="0.25">
      <c r="P290">
        <v>1000</v>
      </c>
      <c r="Q290">
        <v>1000000</v>
      </c>
      <c r="R290">
        <v>35302</v>
      </c>
      <c r="S290">
        <v>28327</v>
      </c>
      <c r="T290">
        <v>35.302</v>
      </c>
    </row>
    <row r="291" spans="16:20" x14ac:dyDescent="0.25">
      <c r="P291">
        <v>1000</v>
      </c>
      <c r="Q291">
        <v>1000000</v>
      </c>
      <c r="R291">
        <v>35334</v>
      </c>
      <c r="S291">
        <v>28301</v>
      </c>
      <c r="T291">
        <v>35.334000000000003</v>
      </c>
    </row>
    <row r="292" spans="16:20" x14ac:dyDescent="0.25">
      <c r="P292">
        <v>1000</v>
      </c>
      <c r="Q292">
        <v>1000000</v>
      </c>
      <c r="R292">
        <v>35358</v>
      </c>
      <c r="S292">
        <v>28282</v>
      </c>
      <c r="T292">
        <v>35.357999999999997</v>
      </c>
    </row>
    <row r="293" spans="16:20" x14ac:dyDescent="0.25">
      <c r="P293">
        <v>1000</v>
      </c>
      <c r="Q293">
        <v>1000000</v>
      </c>
      <c r="R293">
        <v>35374</v>
      </c>
      <c r="S293">
        <v>28269</v>
      </c>
      <c r="T293">
        <v>35.374000000000002</v>
      </c>
    </row>
    <row r="295" spans="16:20" x14ac:dyDescent="0.25">
      <c r="P295">
        <v>1000</v>
      </c>
      <c r="Q295">
        <v>1000000</v>
      </c>
      <c r="R295">
        <v>28845</v>
      </c>
      <c r="S295">
        <v>34668</v>
      </c>
      <c r="T295">
        <v>28.844999999999999</v>
      </c>
    </row>
    <row r="296" spans="16:20" x14ac:dyDescent="0.25">
      <c r="P296">
        <v>1000</v>
      </c>
      <c r="Q296">
        <v>1000000</v>
      </c>
      <c r="R296">
        <v>28898</v>
      </c>
      <c r="S296">
        <v>34604</v>
      </c>
      <c r="T296">
        <v>28.898</v>
      </c>
    </row>
    <row r="297" spans="16:20" x14ac:dyDescent="0.25">
      <c r="P297">
        <v>1000</v>
      </c>
      <c r="Q297">
        <v>1000000</v>
      </c>
      <c r="R297">
        <v>28911</v>
      </c>
      <c r="S297">
        <v>34589</v>
      </c>
      <c r="T297">
        <v>28.911000000000001</v>
      </c>
    </row>
    <row r="298" spans="16:20" x14ac:dyDescent="0.25">
      <c r="P298">
        <v>1000</v>
      </c>
      <c r="Q298">
        <v>1000000</v>
      </c>
      <c r="R298">
        <v>28915</v>
      </c>
      <c r="S298">
        <v>34584</v>
      </c>
      <c r="T298">
        <v>28.914999999999999</v>
      </c>
    </row>
    <row r="299" spans="16:20" x14ac:dyDescent="0.25">
      <c r="P299">
        <v>1000</v>
      </c>
      <c r="Q299">
        <v>1000000</v>
      </c>
      <c r="R299">
        <v>28924</v>
      </c>
      <c r="S299">
        <v>34573</v>
      </c>
      <c r="T299">
        <v>28.923999999999999</v>
      </c>
    </row>
    <row r="300" spans="16:20" x14ac:dyDescent="0.25">
      <c r="P300">
        <v>1000</v>
      </c>
      <c r="Q300">
        <v>1000000</v>
      </c>
      <c r="R300">
        <v>28932</v>
      </c>
      <c r="S300">
        <v>34564</v>
      </c>
      <c r="T300">
        <v>28.931999999999999</v>
      </c>
    </row>
    <row r="301" spans="16:20" x14ac:dyDescent="0.25">
      <c r="P301">
        <v>1000</v>
      </c>
      <c r="Q301">
        <v>1000000</v>
      </c>
      <c r="R301">
        <v>29067</v>
      </c>
      <c r="S301">
        <v>34403</v>
      </c>
      <c r="T301">
        <v>29.067</v>
      </c>
    </row>
    <row r="302" spans="16:20" x14ac:dyDescent="0.25">
      <c r="P302">
        <v>1000</v>
      </c>
      <c r="Q302">
        <v>1000000</v>
      </c>
      <c r="R302">
        <v>30375</v>
      </c>
      <c r="S302">
        <v>32922</v>
      </c>
      <c r="T302">
        <v>30.375</v>
      </c>
    </row>
    <row r="303" spans="16:20" x14ac:dyDescent="0.25">
      <c r="P303">
        <v>1000</v>
      </c>
      <c r="Q303">
        <v>1000000</v>
      </c>
      <c r="R303">
        <v>36664</v>
      </c>
      <c r="S303">
        <v>27275</v>
      </c>
      <c r="T303">
        <v>36.664000000000001</v>
      </c>
    </row>
    <row r="304" spans="16:20" x14ac:dyDescent="0.25">
      <c r="P304">
        <v>1000</v>
      </c>
      <c r="Q304">
        <v>1000000</v>
      </c>
      <c r="R304">
        <v>39209</v>
      </c>
      <c r="S304">
        <v>25505</v>
      </c>
      <c r="T304">
        <v>39.209000000000003</v>
      </c>
    </row>
    <row r="305" spans="16:20" x14ac:dyDescent="0.25">
      <c r="P305">
        <v>1000</v>
      </c>
      <c r="Q305">
        <v>1000000</v>
      </c>
      <c r="R305">
        <v>39219</v>
      </c>
      <c r="S305">
        <v>25498</v>
      </c>
      <c r="T305">
        <v>39.219000000000001</v>
      </c>
    </row>
    <row r="306" spans="16:20" x14ac:dyDescent="0.25">
      <c r="P306">
        <v>1000</v>
      </c>
      <c r="Q306">
        <v>1000000</v>
      </c>
      <c r="R306">
        <v>39221</v>
      </c>
      <c r="S306">
        <v>25496</v>
      </c>
      <c r="T306">
        <v>39.220999999999997</v>
      </c>
    </row>
    <row r="307" spans="16:20" x14ac:dyDescent="0.25">
      <c r="P307">
        <v>1000</v>
      </c>
      <c r="Q307">
        <v>1000000</v>
      </c>
      <c r="R307">
        <v>39228</v>
      </c>
      <c r="S307">
        <v>25492</v>
      </c>
      <c r="T307">
        <v>39.228000000000002</v>
      </c>
    </row>
    <row r="308" spans="16:20" x14ac:dyDescent="0.25">
      <c r="P308">
        <v>1000</v>
      </c>
      <c r="Q308">
        <v>1000000</v>
      </c>
      <c r="R308">
        <v>39247</v>
      </c>
      <c r="S308">
        <v>25480</v>
      </c>
      <c r="T308">
        <v>39.247</v>
      </c>
    </row>
    <row r="309" spans="16:20" x14ac:dyDescent="0.25">
      <c r="P309">
        <v>1000</v>
      </c>
      <c r="Q309">
        <v>1000000</v>
      </c>
      <c r="R309">
        <v>39248</v>
      </c>
      <c r="S309">
        <v>25479</v>
      </c>
      <c r="T309">
        <v>39.247999999999998</v>
      </c>
    </row>
    <row r="310" spans="16:20" x14ac:dyDescent="0.25">
      <c r="P310">
        <v>1000</v>
      </c>
      <c r="Q310">
        <v>1000000</v>
      </c>
      <c r="R310">
        <v>39260</v>
      </c>
      <c r="S310">
        <v>25471</v>
      </c>
      <c r="T310">
        <v>39.26</v>
      </c>
    </row>
    <row r="311" spans="16:20" x14ac:dyDescent="0.25">
      <c r="P311">
        <v>1000</v>
      </c>
      <c r="Q311">
        <v>1000000</v>
      </c>
      <c r="R311">
        <v>39265</v>
      </c>
      <c r="S311">
        <v>25468</v>
      </c>
      <c r="T311">
        <v>39.265000000000001</v>
      </c>
    </row>
    <row r="312" spans="16:20" x14ac:dyDescent="0.25">
      <c r="P312">
        <v>1000</v>
      </c>
      <c r="Q312">
        <v>1000000</v>
      </c>
      <c r="R312">
        <v>39256</v>
      </c>
      <c r="S312">
        <v>25474</v>
      </c>
      <c r="T312">
        <v>39.256</v>
      </c>
    </row>
    <row r="313" spans="16:20" x14ac:dyDescent="0.25">
      <c r="P313">
        <v>1000</v>
      </c>
      <c r="Q313">
        <v>1000000</v>
      </c>
      <c r="R313">
        <v>39271</v>
      </c>
      <c r="S313">
        <v>25464</v>
      </c>
      <c r="T313">
        <v>39.271000000000001</v>
      </c>
    </row>
    <row r="314" spans="16:20" x14ac:dyDescent="0.25">
      <c r="P314">
        <v>1000</v>
      </c>
      <c r="Q314">
        <v>1000000</v>
      </c>
      <c r="R314">
        <v>39294</v>
      </c>
      <c r="S314">
        <v>25449</v>
      </c>
      <c r="T314">
        <v>39.293999999999997</v>
      </c>
    </row>
    <row r="315" spans="16:20" x14ac:dyDescent="0.25">
      <c r="P315">
        <v>1000</v>
      </c>
      <c r="Q315">
        <v>1000000</v>
      </c>
      <c r="R315">
        <v>39295</v>
      </c>
      <c r="S315">
        <v>25449</v>
      </c>
      <c r="T315">
        <v>39.295000000000002</v>
      </c>
    </row>
    <row r="317" spans="16:20" x14ac:dyDescent="0.25">
      <c r="P317">
        <v>1000</v>
      </c>
      <c r="Q317">
        <v>1000000</v>
      </c>
      <c r="R317">
        <v>32878</v>
      </c>
      <c r="S317">
        <v>30416</v>
      </c>
      <c r="T317">
        <v>32.878</v>
      </c>
    </row>
    <row r="318" spans="16:20" x14ac:dyDescent="0.25">
      <c r="P318">
        <v>1000</v>
      </c>
      <c r="Q318">
        <v>1000000</v>
      </c>
      <c r="R318">
        <v>32925</v>
      </c>
      <c r="S318">
        <v>30372</v>
      </c>
      <c r="T318">
        <v>32.924999999999997</v>
      </c>
    </row>
    <row r="319" spans="16:20" x14ac:dyDescent="0.25">
      <c r="P319">
        <v>1000</v>
      </c>
      <c r="Q319">
        <v>1000000</v>
      </c>
      <c r="R319">
        <v>32928</v>
      </c>
      <c r="S319">
        <v>30370</v>
      </c>
      <c r="T319">
        <v>32.927999999999997</v>
      </c>
    </row>
    <row r="320" spans="16:20" x14ac:dyDescent="0.25">
      <c r="P320">
        <v>1000</v>
      </c>
      <c r="Q320">
        <v>1000000</v>
      </c>
      <c r="R320">
        <v>32974</v>
      </c>
      <c r="S320">
        <v>30327</v>
      </c>
      <c r="T320">
        <v>32.973999999999997</v>
      </c>
    </row>
    <row r="321" spans="16:20" x14ac:dyDescent="0.25">
      <c r="P321">
        <v>1000</v>
      </c>
      <c r="Q321">
        <v>1000000</v>
      </c>
      <c r="R321">
        <v>32987</v>
      </c>
      <c r="S321">
        <v>30315</v>
      </c>
      <c r="T321">
        <v>32.987000000000002</v>
      </c>
    </row>
    <row r="322" spans="16:20" x14ac:dyDescent="0.25">
      <c r="P322">
        <v>1000</v>
      </c>
      <c r="Q322">
        <v>1000000</v>
      </c>
      <c r="R322">
        <v>33001</v>
      </c>
      <c r="S322">
        <v>30302</v>
      </c>
      <c r="T322">
        <v>33.000999999999998</v>
      </c>
    </row>
    <row r="323" spans="16:20" x14ac:dyDescent="0.25">
      <c r="P323">
        <v>1000</v>
      </c>
      <c r="Q323">
        <v>1000000</v>
      </c>
      <c r="R323">
        <v>33048</v>
      </c>
      <c r="S323">
        <v>30259</v>
      </c>
      <c r="T323">
        <v>33.048000000000002</v>
      </c>
    </row>
    <row r="324" spans="16:20" x14ac:dyDescent="0.25">
      <c r="P324">
        <v>1000</v>
      </c>
      <c r="Q324">
        <v>1000000</v>
      </c>
      <c r="R324">
        <v>33058</v>
      </c>
      <c r="S324">
        <v>30250</v>
      </c>
      <c r="T324">
        <v>33.058</v>
      </c>
    </row>
    <row r="325" spans="16:20" x14ac:dyDescent="0.25">
      <c r="P325">
        <v>1000</v>
      </c>
      <c r="Q325">
        <v>1000000</v>
      </c>
      <c r="R325">
        <v>35944</v>
      </c>
      <c r="S325">
        <v>27821</v>
      </c>
      <c r="T325">
        <v>35.944000000000003</v>
      </c>
    </row>
    <row r="326" spans="16:20" x14ac:dyDescent="0.25">
      <c r="P326">
        <v>1000</v>
      </c>
      <c r="Q326">
        <v>1000000</v>
      </c>
      <c r="R326">
        <v>41694</v>
      </c>
      <c r="S326">
        <v>23984</v>
      </c>
      <c r="T326">
        <v>41.694000000000003</v>
      </c>
    </row>
    <row r="327" spans="16:20" x14ac:dyDescent="0.25">
      <c r="P327">
        <v>1000</v>
      </c>
      <c r="Q327">
        <v>1000000</v>
      </c>
      <c r="R327">
        <v>41786</v>
      </c>
      <c r="S327">
        <v>23932</v>
      </c>
      <c r="T327">
        <v>41.786000000000001</v>
      </c>
    </row>
    <row r="328" spans="16:20" x14ac:dyDescent="0.25">
      <c r="P328">
        <v>1000</v>
      </c>
      <c r="Q328">
        <v>1000000</v>
      </c>
      <c r="R328">
        <v>41796</v>
      </c>
      <c r="S328">
        <v>23926</v>
      </c>
      <c r="T328">
        <v>41.795999999999999</v>
      </c>
    </row>
    <row r="329" spans="16:20" x14ac:dyDescent="0.25">
      <c r="P329">
        <v>1000</v>
      </c>
      <c r="Q329">
        <v>1000000</v>
      </c>
      <c r="R329">
        <v>41813</v>
      </c>
      <c r="S329">
        <v>23916</v>
      </c>
      <c r="T329">
        <v>41.813000000000002</v>
      </c>
    </row>
    <row r="330" spans="16:20" x14ac:dyDescent="0.25">
      <c r="P330">
        <v>1000</v>
      </c>
      <c r="Q330">
        <v>1000000</v>
      </c>
      <c r="R330">
        <v>41826</v>
      </c>
      <c r="S330">
        <v>23908</v>
      </c>
      <c r="T330">
        <v>41.826000000000001</v>
      </c>
    </row>
    <row r="331" spans="16:20" x14ac:dyDescent="0.25">
      <c r="P331">
        <v>1000</v>
      </c>
      <c r="Q331">
        <v>1000000</v>
      </c>
      <c r="R331">
        <v>41871</v>
      </c>
      <c r="S331">
        <v>23883</v>
      </c>
      <c r="T331">
        <v>41.871000000000002</v>
      </c>
    </row>
    <row r="332" spans="16:20" x14ac:dyDescent="0.25">
      <c r="P332">
        <v>1000</v>
      </c>
      <c r="Q332">
        <v>1000000</v>
      </c>
      <c r="R332">
        <v>41880</v>
      </c>
      <c r="S332">
        <v>23878</v>
      </c>
      <c r="T332">
        <v>41.88</v>
      </c>
    </row>
    <row r="333" spans="16:20" x14ac:dyDescent="0.25">
      <c r="P333">
        <v>1000</v>
      </c>
      <c r="Q333">
        <v>1000000</v>
      </c>
      <c r="R333">
        <v>41893</v>
      </c>
      <c r="S333">
        <v>23871</v>
      </c>
      <c r="T333">
        <v>41.893000000000001</v>
      </c>
    </row>
    <row r="334" spans="16:20" x14ac:dyDescent="0.25">
      <c r="P334">
        <v>1000</v>
      </c>
      <c r="Q334">
        <v>1000000</v>
      </c>
      <c r="R334">
        <v>41898</v>
      </c>
      <c r="S334">
        <v>23867</v>
      </c>
      <c r="T334">
        <v>41.898000000000003</v>
      </c>
    </row>
    <row r="335" spans="16:20" x14ac:dyDescent="0.25">
      <c r="P335">
        <v>1000</v>
      </c>
      <c r="Q335">
        <v>1000000</v>
      </c>
      <c r="R335">
        <v>41902</v>
      </c>
      <c r="S335">
        <v>23865</v>
      </c>
      <c r="T335">
        <v>41.902000000000001</v>
      </c>
    </row>
    <row r="336" spans="16:20" x14ac:dyDescent="0.25">
      <c r="P336">
        <v>1000</v>
      </c>
      <c r="Q336">
        <v>1000000</v>
      </c>
      <c r="R336">
        <v>41904</v>
      </c>
      <c r="S336">
        <v>23864</v>
      </c>
      <c r="T336">
        <v>41.904000000000003</v>
      </c>
    </row>
    <row r="337" spans="16:20" x14ac:dyDescent="0.25">
      <c r="P337">
        <v>1000</v>
      </c>
      <c r="Q337">
        <v>1000000</v>
      </c>
      <c r="R337">
        <v>41915</v>
      </c>
      <c r="S337">
        <v>23858</v>
      </c>
      <c r="T337">
        <v>41.914999999999999</v>
      </c>
    </row>
    <row r="338" spans="16:20" x14ac:dyDescent="0.25">
      <c r="P338">
        <v>1000</v>
      </c>
      <c r="Q338">
        <v>1000000</v>
      </c>
      <c r="R338">
        <v>41920</v>
      </c>
      <c r="S338">
        <v>23855</v>
      </c>
      <c r="T338">
        <v>41.92</v>
      </c>
    </row>
    <row r="340" spans="16:20" x14ac:dyDescent="0.25">
      <c r="P340">
        <v>1000</v>
      </c>
      <c r="Q340">
        <v>1000000</v>
      </c>
      <c r="R340">
        <v>41099</v>
      </c>
      <c r="S340">
        <v>24331</v>
      </c>
      <c r="T340">
        <v>41.098999999999997</v>
      </c>
    </row>
    <row r="341" spans="16:20" x14ac:dyDescent="0.25">
      <c r="P341">
        <v>1000</v>
      </c>
      <c r="Q341">
        <v>1000000</v>
      </c>
      <c r="R341">
        <v>41115</v>
      </c>
      <c r="S341">
        <v>24322</v>
      </c>
      <c r="T341">
        <v>41.115000000000002</v>
      </c>
    </row>
    <row r="342" spans="16:20" x14ac:dyDescent="0.25">
      <c r="P342">
        <v>1000</v>
      </c>
      <c r="Q342">
        <v>1000000</v>
      </c>
      <c r="R342">
        <v>41122</v>
      </c>
      <c r="S342">
        <v>24318</v>
      </c>
      <c r="T342">
        <v>41.122</v>
      </c>
    </row>
    <row r="343" spans="16:20" x14ac:dyDescent="0.25">
      <c r="P343">
        <v>1000</v>
      </c>
      <c r="Q343">
        <v>1000000</v>
      </c>
      <c r="R343">
        <v>41154</v>
      </c>
      <c r="S343">
        <v>24299</v>
      </c>
      <c r="T343">
        <v>41.154000000000003</v>
      </c>
    </row>
    <row r="344" spans="16:20" x14ac:dyDescent="0.25">
      <c r="P344">
        <v>1000</v>
      </c>
      <c r="Q344">
        <v>1000000</v>
      </c>
      <c r="R344">
        <v>41160</v>
      </c>
      <c r="S344">
        <v>24295</v>
      </c>
      <c r="T344">
        <v>41.16</v>
      </c>
    </row>
    <row r="345" spans="16:20" x14ac:dyDescent="0.25">
      <c r="P345">
        <v>1000</v>
      </c>
      <c r="Q345">
        <v>1000000</v>
      </c>
      <c r="R345">
        <v>41169</v>
      </c>
      <c r="S345">
        <v>24290</v>
      </c>
      <c r="T345">
        <v>41.168999999999997</v>
      </c>
    </row>
    <row r="346" spans="16:20" x14ac:dyDescent="0.25">
      <c r="P346">
        <v>1000</v>
      </c>
      <c r="Q346">
        <v>1000000</v>
      </c>
      <c r="R346">
        <v>41177</v>
      </c>
      <c r="S346">
        <v>24286</v>
      </c>
      <c r="T346">
        <v>41.177</v>
      </c>
    </row>
    <row r="347" spans="16:20" x14ac:dyDescent="0.25">
      <c r="P347">
        <v>1000</v>
      </c>
      <c r="Q347">
        <v>1000000</v>
      </c>
      <c r="R347">
        <v>41204</v>
      </c>
      <c r="S347">
        <v>24270</v>
      </c>
      <c r="T347">
        <v>41.204000000000001</v>
      </c>
    </row>
    <row r="348" spans="16:20" x14ac:dyDescent="0.25">
      <c r="P348">
        <v>1000</v>
      </c>
      <c r="Q348">
        <v>1000000</v>
      </c>
      <c r="R348">
        <v>41223</v>
      </c>
      <c r="S348">
        <v>24258</v>
      </c>
      <c r="T348">
        <v>41.222999999999999</v>
      </c>
    </row>
    <row r="349" spans="16:20" x14ac:dyDescent="0.25">
      <c r="P349">
        <v>1000</v>
      </c>
      <c r="Q349">
        <v>1000000</v>
      </c>
      <c r="R349">
        <v>41233</v>
      </c>
      <c r="S349">
        <v>24252</v>
      </c>
      <c r="T349">
        <v>41.232999999999997</v>
      </c>
    </row>
    <row r="350" spans="16:20" x14ac:dyDescent="0.25">
      <c r="P350">
        <v>1000</v>
      </c>
      <c r="Q350">
        <v>1000000</v>
      </c>
      <c r="R350">
        <v>41246</v>
      </c>
      <c r="S350">
        <v>24245</v>
      </c>
      <c r="T350">
        <v>41.246000000000002</v>
      </c>
    </row>
    <row r="351" spans="16:20" x14ac:dyDescent="0.25">
      <c r="P351">
        <v>1000</v>
      </c>
      <c r="Q351">
        <v>1000000</v>
      </c>
      <c r="R351">
        <v>42720</v>
      </c>
      <c r="S351">
        <v>23408</v>
      </c>
      <c r="T351">
        <v>42.720999999999997</v>
      </c>
    </row>
    <row r="352" spans="16:20" x14ac:dyDescent="0.25">
      <c r="P352">
        <v>1000</v>
      </c>
      <c r="Q352">
        <v>1000000</v>
      </c>
      <c r="R352">
        <v>42730</v>
      </c>
      <c r="S352">
        <v>23403</v>
      </c>
      <c r="T352">
        <v>42.73</v>
      </c>
    </row>
    <row r="353" spans="15:20" x14ac:dyDescent="0.25">
      <c r="P353">
        <v>1000</v>
      </c>
      <c r="Q353">
        <v>1000000</v>
      </c>
      <c r="R353">
        <v>42780</v>
      </c>
      <c r="S353">
        <v>23376</v>
      </c>
      <c r="T353">
        <v>42.78</v>
      </c>
    </row>
    <row r="354" spans="15:20" x14ac:dyDescent="0.25">
      <c r="P354">
        <v>1000</v>
      </c>
      <c r="Q354">
        <v>1000000</v>
      </c>
      <c r="R354">
        <v>42789</v>
      </c>
      <c r="S354">
        <v>23370</v>
      </c>
      <c r="T354">
        <v>42.789000000000001</v>
      </c>
    </row>
    <row r="355" spans="15:20" x14ac:dyDescent="0.25">
      <c r="P355">
        <v>1000</v>
      </c>
      <c r="Q355">
        <v>1000000</v>
      </c>
      <c r="R355">
        <v>42802</v>
      </c>
      <c r="S355">
        <v>23363</v>
      </c>
      <c r="T355">
        <v>42.802</v>
      </c>
    </row>
    <row r="356" spans="15:20" x14ac:dyDescent="0.25">
      <c r="P356">
        <v>1000</v>
      </c>
      <c r="Q356">
        <v>1000000</v>
      </c>
      <c r="R356">
        <v>42808</v>
      </c>
      <c r="S356">
        <v>23360</v>
      </c>
      <c r="T356">
        <v>42.808</v>
      </c>
    </row>
    <row r="357" spans="15:20" x14ac:dyDescent="0.25">
      <c r="P357">
        <v>1000</v>
      </c>
      <c r="Q357">
        <v>1000000</v>
      </c>
      <c r="R357">
        <v>42812</v>
      </c>
      <c r="S357">
        <v>23358</v>
      </c>
      <c r="T357">
        <v>42.811999999999998</v>
      </c>
    </row>
    <row r="358" spans="15:20" x14ac:dyDescent="0.25">
      <c r="P358">
        <v>1000</v>
      </c>
      <c r="Q358">
        <v>1000000</v>
      </c>
      <c r="R358">
        <v>42831</v>
      </c>
      <c r="S358">
        <v>23348</v>
      </c>
      <c r="T358">
        <v>42.831000000000003</v>
      </c>
    </row>
    <row r="359" spans="15:20" x14ac:dyDescent="0.25">
      <c r="P359">
        <v>1000</v>
      </c>
      <c r="Q359">
        <v>1000000</v>
      </c>
      <c r="R359">
        <v>42835</v>
      </c>
      <c r="S359">
        <v>23345</v>
      </c>
      <c r="T359">
        <v>42.835000000000001</v>
      </c>
    </row>
    <row r="360" spans="15:20" x14ac:dyDescent="0.25">
      <c r="P360">
        <v>1000</v>
      </c>
      <c r="Q360">
        <v>1000000</v>
      </c>
      <c r="R360">
        <v>42860</v>
      </c>
      <c r="S360">
        <v>23332</v>
      </c>
      <c r="T360">
        <v>42.86</v>
      </c>
    </row>
    <row r="361" spans="15:20" x14ac:dyDescent="0.25">
      <c r="P361">
        <v>1000</v>
      </c>
      <c r="Q361">
        <v>1000000</v>
      </c>
      <c r="R361">
        <v>42862</v>
      </c>
      <c r="S361">
        <v>23331</v>
      </c>
      <c r="T361">
        <v>42.862000000000002</v>
      </c>
    </row>
    <row r="362" spans="15:20" x14ac:dyDescent="0.25">
      <c r="P362">
        <v>1000</v>
      </c>
      <c r="Q362">
        <v>1000000</v>
      </c>
      <c r="R362">
        <v>42918</v>
      </c>
      <c r="S362">
        <v>23300</v>
      </c>
      <c r="T362">
        <v>42.917999999999999</v>
      </c>
    </row>
    <row r="364" spans="15:20" x14ac:dyDescent="0.25">
      <c r="O364">
        <v>24</v>
      </c>
      <c r="P364">
        <v>1000</v>
      </c>
      <c r="Q364">
        <v>1000000</v>
      </c>
      <c r="R364">
        <v>40175</v>
      </c>
      <c r="S364">
        <v>24891</v>
      </c>
      <c r="T364">
        <v>40.174999999999997</v>
      </c>
    </row>
    <row r="365" spans="15:20" x14ac:dyDescent="0.25">
      <c r="P365">
        <v>1000</v>
      </c>
      <c r="Q365">
        <v>1000000</v>
      </c>
      <c r="R365">
        <v>40204</v>
      </c>
      <c r="S365">
        <v>24873</v>
      </c>
      <c r="T365">
        <v>40.204000000000001</v>
      </c>
    </row>
    <row r="366" spans="15:20" x14ac:dyDescent="0.25">
      <c r="P366">
        <v>1000</v>
      </c>
      <c r="Q366">
        <v>1000000</v>
      </c>
      <c r="R366">
        <v>40251</v>
      </c>
      <c r="S366">
        <v>24844</v>
      </c>
      <c r="T366">
        <v>40.250999999999998</v>
      </c>
    </row>
    <row r="367" spans="15:20" x14ac:dyDescent="0.25">
      <c r="P367">
        <v>1000</v>
      </c>
      <c r="Q367">
        <v>1000000</v>
      </c>
      <c r="R367">
        <v>40261</v>
      </c>
      <c r="S367">
        <v>24838</v>
      </c>
      <c r="T367">
        <v>40.261000000000003</v>
      </c>
    </row>
    <row r="368" spans="15:20" x14ac:dyDescent="0.25">
      <c r="P368">
        <v>1000</v>
      </c>
      <c r="Q368">
        <v>1000000</v>
      </c>
      <c r="R368">
        <v>40273</v>
      </c>
      <c r="S368">
        <v>24831</v>
      </c>
      <c r="T368">
        <v>40.273000000000003</v>
      </c>
    </row>
    <row r="369" spans="16:20" x14ac:dyDescent="0.25">
      <c r="P369">
        <v>1000</v>
      </c>
      <c r="Q369">
        <v>1000000</v>
      </c>
      <c r="R369">
        <v>40288</v>
      </c>
      <c r="S369">
        <v>24821</v>
      </c>
      <c r="T369">
        <v>40.287999999999997</v>
      </c>
    </row>
    <row r="370" spans="16:20" x14ac:dyDescent="0.25">
      <c r="P370">
        <v>1000</v>
      </c>
      <c r="Q370">
        <v>1000000</v>
      </c>
      <c r="R370">
        <v>40300</v>
      </c>
      <c r="S370">
        <v>24814</v>
      </c>
      <c r="T370">
        <v>40.299999999999997</v>
      </c>
    </row>
    <row r="371" spans="16:20" x14ac:dyDescent="0.25">
      <c r="P371">
        <v>1000</v>
      </c>
      <c r="Q371">
        <v>1000000</v>
      </c>
      <c r="R371">
        <v>40297</v>
      </c>
      <c r="S371">
        <v>24816</v>
      </c>
      <c r="T371">
        <v>40.296999999999997</v>
      </c>
    </row>
    <row r="372" spans="16:20" x14ac:dyDescent="0.25">
      <c r="P372">
        <v>1000</v>
      </c>
      <c r="Q372">
        <v>1000000</v>
      </c>
      <c r="R372">
        <v>40310</v>
      </c>
      <c r="S372">
        <v>24807</v>
      </c>
      <c r="T372">
        <v>40.31</v>
      </c>
    </row>
    <row r="373" spans="16:20" x14ac:dyDescent="0.25">
      <c r="P373">
        <v>1000</v>
      </c>
      <c r="Q373">
        <v>1000000</v>
      </c>
      <c r="R373">
        <v>40329</v>
      </c>
      <c r="S373">
        <v>24796</v>
      </c>
      <c r="T373">
        <v>40.329000000000001</v>
      </c>
    </row>
    <row r="374" spans="16:20" x14ac:dyDescent="0.25">
      <c r="P374">
        <v>1000</v>
      </c>
      <c r="Q374">
        <v>1000000</v>
      </c>
      <c r="R374">
        <v>40360</v>
      </c>
      <c r="S374">
        <v>24777</v>
      </c>
      <c r="T374">
        <v>40.36</v>
      </c>
    </row>
    <row r="375" spans="16:20" x14ac:dyDescent="0.25">
      <c r="P375">
        <v>1000</v>
      </c>
      <c r="Q375">
        <v>1000000</v>
      </c>
      <c r="R375">
        <v>44250</v>
      </c>
      <c r="S375">
        <v>22599</v>
      </c>
      <c r="T375">
        <v>44.25</v>
      </c>
    </row>
    <row r="376" spans="16:20" x14ac:dyDescent="0.25">
      <c r="P376">
        <v>1000</v>
      </c>
      <c r="Q376">
        <v>1000000</v>
      </c>
      <c r="R376">
        <v>44263</v>
      </c>
      <c r="S376">
        <v>22592</v>
      </c>
      <c r="T376">
        <v>44.262999999999998</v>
      </c>
    </row>
    <row r="377" spans="16:20" x14ac:dyDescent="0.25">
      <c r="P377">
        <v>1000</v>
      </c>
      <c r="Q377">
        <v>1000000</v>
      </c>
      <c r="R377">
        <v>44269</v>
      </c>
      <c r="S377">
        <v>22589</v>
      </c>
      <c r="T377">
        <v>44.268999999999998</v>
      </c>
    </row>
    <row r="378" spans="16:20" x14ac:dyDescent="0.25">
      <c r="P378">
        <v>1000</v>
      </c>
      <c r="Q378">
        <v>1000000</v>
      </c>
      <c r="R378">
        <v>44280</v>
      </c>
      <c r="S378">
        <v>22583</v>
      </c>
      <c r="T378">
        <v>44.28</v>
      </c>
    </row>
    <row r="379" spans="16:20" x14ac:dyDescent="0.25">
      <c r="P379">
        <v>1000</v>
      </c>
      <c r="Q379">
        <v>1000000</v>
      </c>
      <c r="R379">
        <v>44279</v>
      </c>
      <c r="S379">
        <v>22584</v>
      </c>
      <c r="T379">
        <v>44.279000000000003</v>
      </c>
    </row>
    <row r="380" spans="16:20" x14ac:dyDescent="0.25">
      <c r="P380">
        <v>1000</v>
      </c>
      <c r="Q380">
        <v>1000000</v>
      </c>
      <c r="R380">
        <v>44294</v>
      </c>
      <c r="S380">
        <v>22577</v>
      </c>
      <c r="T380">
        <v>44.293999999999997</v>
      </c>
    </row>
    <row r="381" spans="16:20" x14ac:dyDescent="0.25">
      <c r="P381">
        <v>1000</v>
      </c>
      <c r="Q381">
        <v>1000000</v>
      </c>
      <c r="R381">
        <v>44307</v>
      </c>
      <c r="S381">
        <v>22570</v>
      </c>
      <c r="T381">
        <v>44.307000000000002</v>
      </c>
    </row>
    <row r="382" spans="16:20" x14ac:dyDescent="0.25">
      <c r="P382">
        <v>1000</v>
      </c>
      <c r="Q382">
        <v>1000000</v>
      </c>
      <c r="R382">
        <v>44301</v>
      </c>
      <c r="S382">
        <v>22573</v>
      </c>
      <c r="T382">
        <v>44.301000000000002</v>
      </c>
    </row>
    <row r="383" spans="16:20" x14ac:dyDescent="0.25">
      <c r="P383">
        <v>1000</v>
      </c>
      <c r="Q383">
        <v>1000000</v>
      </c>
      <c r="R383">
        <v>44296</v>
      </c>
      <c r="S383">
        <v>22576</v>
      </c>
      <c r="T383">
        <v>44.295999999999999</v>
      </c>
    </row>
    <row r="384" spans="16:20" x14ac:dyDescent="0.25">
      <c r="P384">
        <v>1000</v>
      </c>
      <c r="Q384">
        <v>1000000</v>
      </c>
      <c r="R384">
        <v>44305</v>
      </c>
      <c r="S384">
        <v>22571</v>
      </c>
      <c r="T384">
        <v>44.305</v>
      </c>
    </row>
    <row r="385" spans="15:20" x14ac:dyDescent="0.25">
      <c r="P385">
        <v>1000</v>
      </c>
      <c r="Q385">
        <v>1000000</v>
      </c>
      <c r="R385">
        <v>44313</v>
      </c>
      <c r="S385">
        <v>22567</v>
      </c>
      <c r="T385">
        <v>44.313000000000002</v>
      </c>
    </row>
    <row r="386" spans="15:20" x14ac:dyDescent="0.25">
      <c r="P386">
        <v>1000</v>
      </c>
      <c r="Q386">
        <v>1000000</v>
      </c>
      <c r="R386">
        <v>44328</v>
      </c>
      <c r="S386">
        <v>22559</v>
      </c>
      <c r="T386">
        <v>44.328000000000003</v>
      </c>
    </row>
    <row r="387" spans="15:20" x14ac:dyDescent="0.25">
      <c r="P387">
        <v>1000</v>
      </c>
      <c r="Q387">
        <v>1000000</v>
      </c>
      <c r="R387">
        <v>44338</v>
      </c>
      <c r="S387">
        <v>22554</v>
      </c>
      <c r="T387">
        <v>44.338000000000001</v>
      </c>
    </row>
    <row r="389" spans="15:20" x14ac:dyDescent="0.25">
      <c r="O389">
        <v>25</v>
      </c>
      <c r="P389">
        <v>1000</v>
      </c>
      <c r="Q389">
        <v>1000000</v>
      </c>
      <c r="R389">
        <v>36876</v>
      </c>
      <c r="S389">
        <v>27118</v>
      </c>
      <c r="T389">
        <v>36.875999999999998</v>
      </c>
    </row>
    <row r="390" spans="15:20" x14ac:dyDescent="0.25">
      <c r="P390">
        <v>1000</v>
      </c>
      <c r="Q390">
        <v>1000000</v>
      </c>
      <c r="R390">
        <v>36951</v>
      </c>
      <c r="S390">
        <v>27063</v>
      </c>
      <c r="T390">
        <v>36.951000000000001</v>
      </c>
    </row>
    <row r="391" spans="15:20" x14ac:dyDescent="0.25">
      <c r="P391">
        <v>1000</v>
      </c>
      <c r="Q391">
        <v>1000000</v>
      </c>
      <c r="R391">
        <v>36956</v>
      </c>
      <c r="S391">
        <v>27059</v>
      </c>
      <c r="T391">
        <v>36.956000000000003</v>
      </c>
    </row>
    <row r="392" spans="15:20" x14ac:dyDescent="0.25">
      <c r="P392">
        <v>1000</v>
      </c>
      <c r="Q392">
        <v>1000000</v>
      </c>
      <c r="R392">
        <v>36961</v>
      </c>
      <c r="S392">
        <v>27056</v>
      </c>
      <c r="T392">
        <v>36.960999999999999</v>
      </c>
    </row>
    <row r="393" spans="15:20" x14ac:dyDescent="0.25">
      <c r="P393">
        <v>1000</v>
      </c>
      <c r="Q393">
        <v>1000000</v>
      </c>
      <c r="R393">
        <v>36969</v>
      </c>
      <c r="S393">
        <v>27050</v>
      </c>
      <c r="T393">
        <v>36.969000000000001</v>
      </c>
    </row>
    <row r="394" spans="15:20" x14ac:dyDescent="0.25">
      <c r="P394">
        <v>1000</v>
      </c>
      <c r="Q394">
        <v>1000000</v>
      </c>
      <c r="R394">
        <v>36975</v>
      </c>
      <c r="S394">
        <v>27046</v>
      </c>
      <c r="T394">
        <v>36.975000000000001</v>
      </c>
    </row>
    <row r="395" spans="15:20" x14ac:dyDescent="0.25">
      <c r="P395">
        <v>1000</v>
      </c>
      <c r="Q395">
        <v>1000000</v>
      </c>
      <c r="R395">
        <v>37009</v>
      </c>
      <c r="S395">
        <v>27021</v>
      </c>
      <c r="T395">
        <v>37.009</v>
      </c>
    </row>
    <row r="396" spans="15:20" x14ac:dyDescent="0.25">
      <c r="P396">
        <v>1000</v>
      </c>
      <c r="Q396">
        <v>1000000</v>
      </c>
      <c r="R396">
        <v>37024</v>
      </c>
      <c r="S396">
        <v>27009</v>
      </c>
      <c r="T396">
        <v>37.024000000000001</v>
      </c>
    </row>
    <row r="397" spans="15:20" x14ac:dyDescent="0.25">
      <c r="P397">
        <v>1000</v>
      </c>
      <c r="Q397">
        <v>1000000</v>
      </c>
      <c r="R397">
        <v>37031</v>
      </c>
      <c r="S397">
        <v>27005</v>
      </c>
      <c r="T397">
        <v>37.030999999999999</v>
      </c>
    </row>
    <row r="398" spans="15:20" x14ac:dyDescent="0.25">
      <c r="P398">
        <v>1000</v>
      </c>
      <c r="Q398">
        <v>1000000</v>
      </c>
      <c r="R398">
        <v>40963</v>
      </c>
      <c r="S398">
        <v>24412</v>
      </c>
      <c r="T398">
        <v>40.963000000000001</v>
      </c>
    </row>
    <row r="399" spans="15:20" x14ac:dyDescent="0.25">
      <c r="P399">
        <v>1000</v>
      </c>
      <c r="Q399">
        <v>1000000</v>
      </c>
      <c r="R399">
        <v>42410</v>
      </c>
      <c r="S399">
        <v>23579</v>
      </c>
      <c r="T399">
        <v>42.41</v>
      </c>
    </row>
    <row r="400" spans="15:20" x14ac:dyDescent="0.25">
      <c r="P400">
        <v>1000</v>
      </c>
      <c r="Q400">
        <v>1000000</v>
      </c>
      <c r="R400">
        <v>45382</v>
      </c>
      <c r="S400">
        <v>22035</v>
      </c>
      <c r="T400">
        <v>45.381999999999998</v>
      </c>
    </row>
    <row r="401" spans="15:20" x14ac:dyDescent="0.25">
      <c r="P401">
        <v>1000</v>
      </c>
      <c r="Q401">
        <v>1000000</v>
      </c>
      <c r="R401">
        <v>45921</v>
      </c>
      <c r="S401">
        <v>21776</v>
      </c>
      <c r="T401">
        <v>45.920999999999999</v>
      </c>
    </row>
    <row r="402" spans="15:20" x14ac:dyDescent="0.25">
      <c r="P402">
        <v>1000</v>
      </c>
      <c r="Q402">
        <v>1000000</v>
      </c>
      <c r="R402">
        <v>45929</v>
      </c>
      <c r="S402">
        <v>21773</v>
      </c>
      <c r="T402">
        <v>45.929000000000002</v>
      </c>
    </row>
    <row r="403" spans="15:20" x14ac:dyDescent="0.25">
      <c r="P403">
        <v>1000</v>
      </c>
      <c r="Q403">
        <v>1000000</v>
      </c>
      <c r="R403">
        <v>45960</v>
      </c>
      <c r="S403">
        <v>21758</v>
      </c>
      <c r="T403">
        <v>45.96</v>
      </c>
    </row>
    <row r="404" spans="15:20" x14ac:dyDescent="0.25">
      <c r="P404">
        <v>1000</v>
      </c>
      <c r="Q404">
        <v>1000000</v>
      </c>
      <c r="R404">
        <v>45972</v>
      </c>
      <c r="S404">
        <v>21752</v>
      </c>
      <c r="T404">
        <v>45.972000000000001</v>
      </c>
    </row>
    <row r="405" spans="15:20" x14ac:dyDescent="0.25">
      <c r="P405">
        <v>1000</v>
      </c>
      <c r="Q405">
        <v>1000000</v>
      </c>
      <c r="R405">
        <v>45976</v>
      </c>
      <c r="S405">
        <v>21751</v>
      </c>
      <c r="T405">
        <v>45.975999999999999</v>
      </c>
    </row>
    <row r="406" spans="15:20" x14ac:dyDescent="0.25">
      <c r="P406">
        <v>1000</v>
      </c>
      <c r="Q406">
        <v>1000000</v>
      </c>
      <c r="R406">
        <v>45998</v>
      </c>
      <c r="S406">
        <v>21740</v>
      </c>
      <c r="T406">
        <v>45.997999999999998</v>
      </c>
    </row>
    <row r="407" spans="15:20" x14ac:dyDescent="0.25">
      <c r="P407">
        <v>1000</v>
      </c>
      <c r="Q407">
        <v>1000000</v>
      </c>
      <c r="R407">
        <v>46005</v>
      </c>
      <c r="S407">
        <v>21737</v>
      </c>
      <c r="T407">
        <v>46.005000000000003</v>
      </c>
    </row>
    <row r="408" spans="15:20" x14ac:dyDescent="0.25">
      <c r="P408">
        <v>1000</v>
      </c>
      <c r="Q408">
        <v>1000000</v>
      </c>
      <c r="R408">
        <v>46026</v>
      </c>
      <c r="S408">
        <v>21727</v>
      </c>
      <c r="T408">
        <v>46.026000000000003</v>
      </c>
    </row>
    <row r="409" spans="15:20" x14ac:dyDescent="0.25">
      <c r="P409">
        <v>1000</v>
      </c>
      <c r="Q409">
        <v>1000000</v>
      </c>
      <c r="R409">
        <v>46040</v>
      </c>
      <c r="S409">
        <v>21720</v>
      </c>
      <c r="T409">
        <v>46.04</v>
      </c>
    </row>
    <row r="410" spans="15:20" x14ac:dyDescent="0.25">
      <c r="P410">
        <v>1000</v>
      </c>
      <c r="Q410">
        <v>1000000</v>
      </c>
      <c r="R410">
        <v>46040</v>
      </c>
      <c r="S410">
        <v>21720</v>
      </c>
      <c r="T410">
        <v>46.04</v>
      </c>
    </row>
    <row r="411" spans="15:20" x14ac:dyDescent="0.25">
      <c r="P411">
        <v>1000</v>
      </c>
      <c r="Q411">
        <v>1000000</v>
      </c>
      <c r="R411">
        <v>46048</v>
      </c>
      <c r="S411">
        <v>21717</v>
      </c>
      <c r="T411">
        <v>46.048000000000002</v>
      </c>
    </row>
    <row r="412" spans="15:20" x14ac:dyDescent="0.25">
      <c r="P412">
        <v>1000</v>
      </c>
      <c r="Q412">
        <v>1000000</v>
      </c>
      <c r="R412">
        <v>46066</v>
      </c>
      <c r="S412">
        <v>21708</v>
      </c>
      <c r="T412">
        <v>46.066000000000003</v>
      </c>
    </row>
    <row r="413" spans="15:20" x14ac:dyDescent="0.25">
      <c r="P413">
        <v>1000</v>
      </c>
      <c r="Q413">
        <v>1000000</v>
      </c>
      <c r="R413">
        <v>46071</v>
      </c>
      <c r="S413">
        <v>21706</v>
      </c>
      <c r="T413">
        <v>46.070999999999998</v>
      </c>
    </row>
    <row r="415" spans="15:20" x14ac:dyDescent="0.25">
      <c r="O415">
        <v>26</v>
      </c>
      <c r="P415">
        <v>1000</v>
      </c>
      <c r="Q415">
        <v>1000000</v>
      </c>
      <c r="R415">
        <v>38829</v>
      </c>
      <c r="S415">
        <v>25754</v>
      </c>
      <c r="T415">
        <v>38.829000000000001</v>
      </c>
    </row>
    <row r="416" spans="15:20" x14ac:dyDescent="0.25">
      <c r="P416">
        <v>1000</v>
      </c>
      <c r="Q416">
        <v>1000000</v>
      </c>
      <c r="R416">
        <v>38829</v>
      </c>
      <c r="S416">
        <v>25754</v>
      </c>
      <c r="T416">
        <v>38.829000000000001</v>
      </c>
    </row>
    <row r="417" spans="16:20" x14ac:dyDescent="0.25">
      <c r="P417">
        <v>1000</v>
      </c>
      <c r="Q417">
        <v>1000000</v>
      </c>
      <c r="R417">
        <v>38836</v>
      </c>
      <c r="S417">
        <v>25749</v>
      </c>
      <c r="T417">
        <v>38.835999999999999</v>
      </c>
    </row>
    <row r="418" spans="16:20" x14ac:dyDescent="0.25">
      <c r="P418">
        <v>1000</v>
      </c>
      <c r="Q418">
        <v>1000000</v>
      </c>
      <c r="R418">
        <v>38838</v>
      </c>
      <c r="S418">
        <v>25748</v>
      </c>
      <c r="T418">
        <v>38.838000000000001</v>
      </c>
    </row>
    <row r="419" spans="16:20" x14ac:dyDescent="0.25">
      <c r="P419">
        <v>1000</v>
      </c>
      <c r="Q419">
        <v>1000000</v>
      </c>
      <c r="R419">
        <v>38853</v>
      </c>
      <c r="S419">
        <v>25738</v>
      </c>
      <c r="T419">
        <v>38.853000000000002</v>
      </c>
    </row>
    <row r="420" spans="16:20" x14ac:dyDescent="0.25">
      <c r="P420">
        <v>1000</v>
      </c>
      <c r="Q420">
        <v>1000000</v>
      </c>
      <c r="R420">
        <v>38848</v>
      </c>
      <c r="S420">
        <v>25741</v>
      </c>
      <c r="T420">
        <v>38.847999999999999</v>
      </c>
    </row>
    <row r="421" spans="16:20" x14ac:dyDescent="0.25">
      <c r="P421">
        <v>1000</v>
      </c>
      <c r="Q421">
        <v>1000000</v>
      </c>
      <c r="R421">
        <v>38857</v>
      </c>
      <c r="S421">
        <v>25736</v>
      </c>
      <c r="T421">
        <v>38.856999999999999</v>
      </c>
    </row>
    <row r="422" spans="16:20" x14ac:dyDescent="0.25">
      <c r="P422">
        <v>1000</v>
      </c>
      <c r="Q422">
        <v>1000000</v>
      </c>
      <c r="R422">
        <v>38863</v>
      </c>
      <c r="S422">
        <v>25731</v>
      </c>
      <c r="T422">
        <v>38.863</v>
      </c>
    </row>
    <row r="423" spans="16:20" x14ac:dyDescent="0.25">
      <c r="P423">
        <v>1000</v>
      </c>
      <c r="Q423">
        <v>1000000</v>
      </c>
      <c r="R423">
        <v>38910</v>
      </c>
      <c r="S423">
        <v>25700</v>
      </c>
      <c r="T423">
        <v>38.909999999999997</v>
      </c>
    </row>
    <row r="424" spans="16:20" x14ac:dyDescent="0.25">
      <c r="P424">
        <v>1000</v>
      </c>
      <c r="Q424">
        <v>1000000</v>
      </c>
      <c r="R424">
        <v>38914</v>
      </c>
      <c r="S424">
        <v>25697</v>
      </c>
      <c r="T424">
        <v>38.914000000000001</v>
      </c>
    </row>
    <row r="425" spans="16:20" x14ac:dyDescent="0.25">
      <c r="P425">
        <v>1000</v>
      </c>
      <c r="Q425">
        <v>1000000</v>
      </c>
      <c r="R425">
        <v>43139</v>
      </c>
      <c r="S425">
        <v>23181</v>
      </c>
      <c r="T425">
        <v>43.139000000000003</v>
      </c>
    </row>
    <row r="426" spans="16:20" x14ac:dyDescent="0.25">
      <c r="P426">
        <v>1000</v>
      </c>
      <c r="Q426">
        <v>1000000</v>
      </c>
      <c r="R426">
        <v>47959</v>
      </c>
      <c r="S426">
        <v>20851</v>
      </c>
      <c r="T426">
        <v>47.959000000000003</v>
      </c>
    </row>
    <row r="427" spans="16:20" x14ac:dyDescent="0.25">
      <c r="P427">
        <v>1000</v>
      </c>
      <c r="Q427">
        <v>1000000</v>
      </c>
      <c r="R427">
        <v>47954</v>
      </c>
      <c r="S427">
        <v>20853</v>
      </c>
      <c r="T427">
        <v>47.954000000000001</v>
      </c>
    </row>
    <row r="428" spans="16:20" x14ac:dyDescent="0.25">
      <c r="P428">
        <v>1000</v>
      </c>
      <c r="Q428">
        <v>1000000</v>
      </c>
      <c r="R428">
        <v>47970</v>
      </c>
      <c r="S428">
        <v>20846</v>
      </c>
      <c r="T428">
        <v>47.97</v>
      </c>
    </row>
    <row r="429" spans="16:20" x14ac:dyDescent="0.25">
      <c r="P429">
        <v>1000</v>
      </c>
      <c r="Q429">
        <v>1000000</v>
      </c>
      <c r="R429">
        <v>47980</v>
      </c>
      <c r="S429">
        <v>20842</v>
      </c>
      <c r="T429">
        <v>47.98</v>
      </c>
    </row>
    <row r="430" spans="16:20" x14ac:dyDescent="0.25">
      <c r="P430">
        <v>1000</v>
      </c>
      <c r="Q430">
        <v>1000000</v>
      </c>
      <c r="R430">
        <v>47982</v>
      </c>
      <c r="S430">
        <v>20841</v>
      </c>
      <c r="T430">
        <v>47.981999999999999</v>
      </c>
    </row>
    <row r="431" spans="16:20" x14ac:dyDescent="0.25">
      <c r="P431">
        <v>1000</v>
      </c>
      <c r="Q431">
        <v>1000000</v>
      </c>
      <c r="R431">
        <v>47990</v>
      </c>
      <c r="S431">
        <v>20838</v>
      </c>
      <c r="T431">
        <v>47.99</v>
      </c>
    </row>
    <row r="432" spans="16:20" x14ac:dyDescent="0.25">
      <c r="P432">
        <v>1000</v>
      </c>
      <c r="Q432">
        <v>1000000</v>
      </c>
      <c r="R432">
        <v>47999</v>
      </c>
      <c r="S432">
        <v>20834</v>
      </c>
      <c r="T432">
        <v>47.999000000000002</v>
      </c>
    </row>
    <row r="433" spans="16:20" x14ac:dyDescent="0.25">
      <c r="P433">
        <v>1000</v>
      </c>
      <c r="Q433">
        <v>1000000</v>
      </c>
      <c r="R433">
        <v>48003</v>
      </c>
      <c r="S433">
        <v>20832</v>
      </c>
      <c r="T433">
        <v>48.003</v>
      </c>
    </row>
    <row r="434" spans="16:20" x14ac:dyDescent="0.25">
      <c r="P434">
        <v>1000</v>
      </c>
      <c r="Q434">
        <v>1000000</v>
      </c>
      <c r="R434">
        <v>48009</v>
      </c>
      <c r="S434">
        <v>20830</v>
      </c>
      <c r="T434">
        <v>48.009</v>
      </c>
    </row>
    <row r="435" spans="16:20" x14ac:dyDescent="0.25">
      <c r="P435">
        <v>1000</v>
      </c>
      <c r="Q435">
        <v>1000000</v>
      </c>
      <c r="R435">
        <v>48004</v>
      </c>
      <c r="S435">
        <v>20832</v>
      </c>
      <c r="T435">
        <v>48.003999999999998</v>
      </c>
    </row>
    <row r="436" spans="16:20" x14ac:dyDescent="0.25">
      <c r="P436">
        <v>1000</v>
      </c>
      <c r="Q436">
        <v>1000000</v>
      </c>
      <c r="R436">
        <v>48022</v>
      </c>
      <c r="S436">
        <v>20824</v>
      </c>
      <c r="T436">
        <v>48.021999999999998</v>
      </c>
    </row>
    <row r="437" spans="16:20" x14ac:dyDescent="0.25">
      <c r="P437">
        <v>1000</v>
      </c>
      <c r="Q437">
        <v>1000000</v>
      </c>
      <c r="R437">
        <v>48025</v>
      </c>
      <c r="S437">
        <v>20822</v>
      </c>
      <c r="T437">
        <v>48.024999999999999</v>
      </c>
    </row>
    <row r="438" spans="16:20" x14ac:dyDescent="0.25">
      <c r="P438">
        <v>1000</v>
      </c>
      <c r="Q438">
        <v>1000000</v>
      </c>
      <c r="R438">
        <v>48018</v>
      </c>
      <c r="S438">
        <v>20825</v>
      </c>
      <c r="T438">
        <v>48.018000000000001</v>
      </c>
    </row>
    <row r="439" spans="16:20" x14ac:dyDescent="0.25">
      <c r="P439">
        <v>1000</v>
      </c>
      <c r="Q439">
        <v>1000000</v>
      </c>
      <c r="R439">
        <v>48021</v>
      </c>
      <c r="S439">
        <v>20824</v>
      </c>
      <c r="T439">
        <v>48.021000000000001</v>
      </c>
    </row>
    <row r="440" spans="16:20" x14ac:dyDescent="0.25">
      <c r="P440">
        <v>1000</v>
      </c>
      <c r="Q440">
        <v>1000000</v>
      </c>
      <c r="R440">
        <v>48034</v>
      </c>
      <c r="S440">
        <v>20819</v>
      </c>
      <c r="T440">
        <v>48.033999999999999</v>
      </c>
    </row>
    <row r="442" spans="16:20" x14ac:dyDescent="0.25">
      <c r="P442">
        <v>1000</v>
      </c>
      <c r="Q442">
        <v>1000000</v>
      </c>
      <c r="R442">
        <v>40727</v>
      </c>
      <c r="S442">
        <v>24554</v>
      </c>
      <c r="T442">
        <v>40.726999999999997</v>
      </c>
    </row>
    <row r="443" spans="16:20" x14ac:dyDescent="0.25">
      <c r="P443">
        <v>1000</v>
      </c>
      <c r="Q443">
        <v>1000000</v>
      </c>
      <c r="R443">
        <v>40755</v>
      </c>
      <c r="S443">
        <v>24537</v>
      </c>
      <c r="T443">
        <v>40.755000000000003</v>
      </c>
    </row>
    <row r="444" spans="16:20" x14ac:dyDescent="0.25">
      <c r="P444">
        <v>1000</v>
      </c>
      <c r="Q444">
        <v>1000000</v>
      </c>
      <c r="R444">
        <v>40771</v>
      </c>
      <c r="S444">
        <v>24527</v>
      </c>
      <c r="T444">
        <v>40.771000000000001</v>
      </c>
    </row>
    <row r="445" spans="16:20" x14ac:dyDescent="0.25">
      <c r="P445">
        <v>1000</v>
      </c>
      <c r="Q445">
        <v>1000000</v>
      </c>
      <c r="R445">
        <v>40806</v>
      </c>
      <c r="S445">
        <v>24506</v>
      </c>
      <c r="T445">
        <v>40.805999999999997</v>
      </c>
    </row>
    <row r="446" spans="16:20" x14ac:dyDescent="0.25">
      <c r="P446">
        <v>1000</v>
      </c>
      <c r="Q446">
        <v>1000000</v>
      </c>
      <c r="R446">
        <v>40813</v>
      </c>
      <c r="S446">
        <v>24502</v>
      </c>
      <c r="T446">
        <v>40.813000000000002</v>
      </c>
    </row>
    <row r="447" spans="16:20" x14ac:dyDescent="0.25">
      <c r="P447">
        <v>1000</v>
      </c>
      <c r="Q447">
        <v>1000000</v>
      </c>
      <c r="R447">
        <v>40842</v>
      </c>
      <c r="S447">
        <v>24484</v>
      </c>
      <c r="T447">
        <v>40.841999999999999</v>
      </c>
    </row>
    <row r="448" spans="16:20" x14ac:dyDescent="0.25">
      <c r="P448">
        <v>1000</v>
      </c>
      <c r="Q448">
        <v>1000000</v>
      </c>
      <c r="R448">
        <v>40854</v>
      </c>
      <c r="S448">
        <v>24477</v>
      </c>
      <c r="T448">
        <v>40.853999999999999</v>
      </c>
    </row>
    <row r="449" spans="16:20" x14ac:dyDescent="0.25">
      <c r="P449">
        <v>1000</v>
      </c>
      <c r="Q449">
        <v>1000000</v>
      </c>
      <c r="R449">
        <v>40848</v>
      </c>
      <c r="S449">
        <v>24481</v>
      </c>
      <c r="T449">
        <v>40.847999999999999</v>
      </c>
    </row>
    <row r="450" spans="16:20" x14ac:dyDescent="0.25">
      <c r="P450">
        <v>1000</v>
      </c>
      <c r="Q450">
        <v>1000000</v>
      </c>
      <c r="R450">
        <v>40901</v>
      </c>
      <c r="S450">
        <v>24449</v>
      </c>
      <c r="T450">
        <v>40.901000000000003</v>
      </c>
    </row>
    <row r="451" spans="16:20" x14ac:dyDescent="0.25">
      <c r="P451">
        <v>1000</v>
      </c>
      <c r="Q451">
        <v>1000000</v>
      </c>
      <c r="R451">
        <v>40904</v>
      </c>
      <c r="S451">
        <v>24448</v>
      </c>
      <c r="T451">
        <v>40.904000000000003</v>
      </c>
    </row>
    <row r="452" spans="16:20" x14ac:dyDescent="0.25">
      <c r="P452">
        <v>1000</v>
      </c>
      <c r="Q452">
        <v>1000000</v>
      </c>
      <c r="R452">
        <v>40904</v>
      </c>
      <c r="S452">
        <v>24448</v>
      </c>
      <c r="T452">
        <v>40.904000000000003</v>
      </c>
    </row>
    <row r="453" spans="16:20" x14ac:dyDescent="0.25">
      <c r="P453">
        <v>1000</v>
      </c>
      <c r="Q453">
        <v>1000000</v>
      </c>
      <c r="R453">
        <v>50050</v>
      </c>
      <c r="S453">
        <v>19980</v>
      </c>
      <c r="T453">
        <v>50.05</v>
      </c>
    </row>
    <row r="454" spans="16:20" x14ac:dyDescent="0.25">
      <c r="P454">
        <v>1000</v>
      </c>
      <c r="Q454">
        <v>1000000</v>
      </c>
      <c r="R454">
        <v>50087</v>
      </c>
      <c r="S454">
        <v>19965</v>
      </c>
      <c r="T454">
        <v>50.087000000000003</v>
      </c>
    </row>
    <row r="455" spans="16:20" x14ac:dyDescent="0.25">
      <c r="P455">
        <v>1000</v>
      </c>
      <c r="Q455">
        <v>1000000</v>
      </c>
      <c r="R455">
        <v>50119</v>
      </c>
      <c r="S455">
        <v>19953</v>
      </c>
      <c r="T455">
        <v>50.119</v>
      </c>
    </row>
    <row r="456" spans="16:20" x14ac:dyDescent="0.25">
      <c r="P456">
        <v>1000</v>
      </c>
      <c r="Q456">
        <v>1000000</v>
      </c>
      <c r="R456">
        <v>50128</v>
      </c>
      <c r="S456">
        <v>19949</v>
      </c>
      <c r="T456">
        <v>50.128</v>
      </c>
    </row>
    <row r="457" spans="16:20" x14ac:dyDescent="0.25">
      <c r="P457">
        <v>1000</v>
      </c>
      <c r="Q457">
        <v>1000000</v>
      </c>
      <c r="R457">
        <v>50151</v>
      </c>
      <c r="S457">
        <v>19940</v>
      </c>
      <c r="T457">
        <v>50.151000000000003</v>
      </c>
    </row>
    <row r="458" spans="16:20" x14ac:dyDescent="0.25">
      <c r="P458">
        <v>1000</v>
      </c>
      <c r="Q458">
        <v>1000000</v>
      </c>
      <c r="R458">
        <v>50148</v>
      </c>
      <c r="S458">
        <v>19941</v>
      </c>
      <c r="T458">
        <v>50.148000000000003</v>
      </c>
    </row>
    <row r="459" spans="16:20" x14ac:dyDescent="0.25">
      <c r="P459">
        <v>1000</v>
      </c>
      <c r="Q459">
        <v>1000000</v>
      </c>
      <c r="R459">
        <v>50159</v>
      </c>
      <c r="S459">
        <v>19937</v>
      </c>
      <c r="T459">
        <v>50.158999999999999</v>
      </c>
    </row>
    <row r="460" spans="16:20" x14ac:dyDescent="0.25">
      <c r="P460">
        <v>1000</v>
      </c>
      <c r="Q460">
        <v>1000000</v>
      </c>
      <c r="R460">
        <v>50161</v>
      </c>
      <c r="S460">
        <v>19936</v>
      </c>
      <c r="T460">
        <v>50.161000000000001</v>
      </c>
    </row>
    <row r="461" spans="16:20" x14ac:dyDescent="0.25">
      <c r="P461">
        <v>1000</v>
      </c>
      <c r="Q461">
        <v>1000000</v>
      </c>
      <c r="R461">
        <v>50164</v>
      </c>
      <c r="S461">
        <v>19935</v>
      </c>
      <c r="T461">
        <v>50.164000000000001</v>
      </c>
    </row>
    <row r="462" spans="16:20" x14ac:dyDescent="0.25">
      <c r="P462">
        <v>1000</v>
      </c>
      <c r="Q462">
        <v>1000000</v>
      </c>
      <c r="R462">
        <v>50172</v>
      </c>
      <c r="S462">
        <v>19931</v>
      </c>
      <c r="T462">
        <v>50.171999999999997</v>
      </c>
    </row>
    <row r="463" spans="16:20" x14ac:dyDescent="0.25">
      <c r="P463">
        <v>1000</v>
      </c>
      <c r="Q463">
        <v>1000000</v>
      </c>
      <c r="R463">
        <v>50168</v>
      </c>
      <c r="S463">
        <v>19933</v>
      </c>
      <c r="T463">
        <v>50.167999999999999</v>
      </c>
    </row>
    <row r="464" spans="16:20" x14ac:dyDescent="0.25">
      <c r="P464">
        <v>1000</v>
      </c>
      <c r="Q464">
        <v>1000000</v>
      </c>
      <c r="R464">
        <v>50170</v>
      </c>
      <c r="S464">
        <v>19932</v>
      </c>
      <c r="T464">
        <v>50.17</v>
      </c>
    </row>
    <row r="465" spans="16:20" x14ac:dyDescent="0.25">
      <c r="P465">
        <v>1000</v>
      </c>
      <c r="Q465">
        <v>1000000</v>
      </c>
      <c r="R465">
        <v>50171</v>
      </c>
      <c r="S465">
        <v>19932</v>
      </c>
      <c r="T465">
        <v>50.170999999999999</v>
      </c>
    </row>
    <row r="466" spans="16:20" x14ac:dyDescent="0.25">
      <c r="P466">
        <v>1000</v>
      </c>
      <c r="Q466">
        <v>1000000</v>
      </c>
      <c r="R466">
        <v>50184</v>
      </c>
      <c r="S466">
        <v>19927</v>
      </c>
      <c r="T466">
        <v>50.183999999999997</v>
      </c>
    </row>
    <row r="467" spans="16:20" x14ac:dyDescent="0.25">
      <c r="P467">
        <v>1000</v>
      </c>
      <c r="Q467">
        <v>1000000</v>
      </c>
      <c r="R467">
        <v>50205</v>
      </c>
      <c r="S467">
        <v>19918</v>
      </c>
      <c r="T467">
        <v>50.204999999999998</v>
      </c>
    </row>
    <row r="468" spans="16:20" x14ac:dyDescent="0.25">
      <c r="P468">
        <v>1000</v>
      </c>
      <c r="Q468">
        <v>1000000</v>
      </c>
      <c r="R468">
        <v>50199</v>
      </c>
      <c r="S468">
        <v>19921</v>
      </c>
      <c r="T468">
        <v>50.198999999999998</v>
      </c>
    </row>
    <row r="470" spans="16:20" x14ac:dyDescent="0.25">
      <c r="P470">
        <v>1000</v>
      </c>
      <c r="Q470">
        <v>1000000</v>
      </c>
      <c r="R470">
        <v>48163</v>
      </c>
      <c r="S470">
        <v>20763</v>
      </c>
      <c r="T470">
        <v>48.162999999999997</v>
      </c>
    </row>
    <row r="471" spans="16:20" x14ac:dyDescent="0.25">
      <c r="P471">
        <v>1000</v>
      </c>
      <c r="Q471">
        <v>1000000</v>
      </c>
      <c r="R471">
        <v>48181</v>
      </c>
      <c r="S471">
        <v>20755</v>
      </c>
      <c r="T471">
        <v>48.180999999999997</v>
      </c>
    </row>
    <row r="472" spans="16:20" x14ac:dyDescent="0.25">
      <c r="P472">
        <v>1000</v>
      </c>
      <c r="Q472">
        <v>1000000</v>
      </c>
      <c r="R472">
        <v>48214</v>
      </c>
      <c r="S472">
        <v>20741</v>
      </c>
      <c r="T472">
        <v>48.213999999999999</v>
      </c>
    </row>
    <row r="473" spans="16:20" x14ac:dyDescent="0.25">
      <c r="P473">
        <v>1000</v>
      </c>
      <c r="Q473">
        <v>1000000</v>
      </c>
      <c r="R473">
        <v>48204</v>
      </c>
      <c r="S473">
        <v>20745</v>
      </c>
      <c r="T473">
        <v>48.204000000000001</v>
      </c>
    </row>
    <row r="474" spans="16:20" x14ac:dyDescent="0.25">
      <c r="P474">
        <v>1000</v>
      </c>
      <c r="Q474">
        <v>1000000</v>
      </c>
      <c r="R474">
        <v>48212</v>
      </c>
      <c r="S474">
        <v>20742</v>
      </c>
      <c r="T474">
        <v>48.212000000000003</v>
      </c>
    </row>
    <row r="475" spans="16:20" x14ac:dyDescent="0.25">
      <c r="P475">
        <v>1000</v>
      </c>
      <c r="Q475">
        <v>1000000</v>
      </c>
      <c r="R475">
        <v>48232</v>
      </c>
      <c r="S475">
        <v>20733</v>
      </c>
      <c r="T475">
        <v>48.231999999999999</v>
      </c>
    </row>
    <row r="476" spans="16:20" x14ac:dyDescent="0.25">
      <c r="P476">
        <v>1000</v>
      </c>
      <c r="Q476">
        <v>1000000</v>
      </c>
      <c r="R476">
        <v>48244</v>
      </c>
      <c r="S476">
        <v>20728</v>
      </c>
      <c r="T476">
        <v>48.244</v>
      </c>
    </row>
    <row r="477" spans="16:20" x14ac:dyDescent="0.25">
      <c r="P477">
        <v>1000</v>
      </c>
      <c r="Q477">
        <v>1000000</v>
      </c>
      <c r="R477">
        <v>48248</v>
      </c>
      <c r="S477">
        <v>20726</v>
      </c>
      <c r="T477">
        <v>48.247999999999998</v>
      </c>
    </row>
    <row r="478" spans="16:20" x14ac:dyDescent="0.25">
      <c r="P478">
        <v>1000</v>
      </c>
      <c r="Q478">
        <v>1000000</v>
      </c>
      <c r="R478">
        <v>48249</v>
      </c>
      <c r="S478">
        <v>20726</v>
      </c>
      <c r="T478">
        <v>48.249000000000002</v>
      </c>
    </row>
    <row r="479" spans="16:20" x14ac:dyDescent="0.25">
      <c r="P479">
        <v>1000</v>
      </c>
      <c r="Q479">
        <v>1000000</v>
      </c>
      <c r="R479">
        <v>48264</v>
      </c>
      <c r="S479">
        <v>20719</v>
      </c>
      <c r="T479">
        <v>48.264000000000003</v>
      </c>
    </row>
    <row r="480" spans="16:20" x14ac:dyDescent="0.25">
      <c r="P480">
        <v>1000</v>
      </c>
      <c r="Q480">
        <v>1000000</v>
      </c>
      <c r="R480">
        <v>48280</v>
      </c>
      <c r="S480">
        <v>20712</v>
      </c>
      <c r="T480">
        <v>48.28</v>
      </c>
    </row>
    <row r="481" spans="16:20" x14ac:dyDescent="0.25">
      <c r="P481">
        <v>1000</v>
      </c>
      <c r="Q481">
        <v>1000000</v>
      </c>
      <c r="R481">
        <v>48286</v>
      </c>
      <c r="S481">
        <v>20710</v>
      </c>
      <c r="T481">
        <v>48.286000000000001</v>
      </c>
    </row>
    <row r="482" spans="16:20" x14ac:dyDescent="0.25">
      <c r="P482">
        <v>1000</v>
      </c>
      <c r="Q482">
        <v>1000000</v>
      </c>
      <c r="R482">
        <v>48326</v>
      </c>
      <c r="S482">
        <v>20693</v>
      </c>
      <c r="T482">
        <v>48.326000000000001</v>
      </c>
    </row>
    <row r="483" spans="16:20" x14ac:dyDescent="0.25">
      <c r="P483">
        <v>1000</v>
      </c>
      <c r="Q483">
        <v>1000000</v>
      </c>
      <c r="R483">
        <v>52271</v>
      </c>
      <c r="S483">
        <v>19131</v>
      </c>
      <c r="T483">
        <v>52.271000000000001</v>
      </c>
    </row>
    <row r="484" spans="16:20" x14ac:dyDescent="0.25">
      <c r="P484">
        <v>1000</v>
      </c>
      <c r="Q484">
        <v>1000000</v>
      </c>
      <c r="R484">
        <v>52329</v>
      </c>
      <c r="S484">
        <v>19110</v>
      </c>
      <c r="T484">
        <v>52.329000000000001</v>
      </c>
    </row>
    <row r="485" spans="16:20" x14ac:dyDescent="0.25">
      <c r="P485">
        <v>1000</v>
      </c>
      <c r="Q485">
        <v>1000000</v>
      </c>
      <c r="R485">
        <v>52326</v>
      </c>
      <c r="S485">
        <v>19111</v>
      </c>
      <c r="T485">
        <v>52.326000000000001</v>
      </c>
    </row>
    <row r="486" spans="16:20" x14ac:dyDescent="0.25">
      <c r="P486">
        <v>1000</v>
      </c>
      <c r="Q486">
        <v>1000000</v>
      </c>
      <c r="R486">
        <v>52329</v>
      </c>
      <c r="S486">
        <v>19110</v>
      </c>
      <c r="T486">
        <v>52.329000000000001</v>
      </c>
    </row>
    <row r="487" spans="16:20" x14ac:dyDescent="0.25">
      <c r="P487">
        <v>1000</v>
      </c>
      <c r="Q487">
        <v>1000000</v>
      </c>
      <c r="R487">
        <v>52341</v>
      </c>
      <c r="S487">
        <v>19105</v>
      </c>
      <c r="T487">
        <v>52.341000000000001</v>
      </c>
    </row>
    <row r="488" spans="16:20" x14ac:dyDescent="0.25">
      <c r="P488">
        <v>1000</v>
      </c>
      <c r="Q488">
        <v>1000000</v>
      </c>
      <c r="R488">
        <v>52354</v>
      </c>
      <c r="S488">
        <v>19101</v>
      </c>
      <c r="T488">
        <v>52.353999999999999</v>
      </c>
    </row>
    <row r="489" spans="16:20" x14ac:dyDescent="0.25">
      <c r="P489">
        <v>1000</v>
      </c>
      <c r="Q489">
        <v>1000000</v>
      </c>
      <c r="R489">
        <v>52372</v>
      </c>
      <c r="S489">
        <v>19094</v>
      </c>
      <c r="T489">
        <v>52.372</v>
      </c>
    </row>
    <row r="490" spans="16:20" x14ac:dyDescent="0.25">
      <c r="P490">
        <v>1000</v>
      </c>
      <c r="Q490">
        <v>1000000</v>
      </c>
      <c r="R490">
        <v>52392</v>
      </c>
      <c r="S490">
        <v>19087</v>
      </c>
      <c r="T490">
        <v>52.392000000000003</v>
      </c>
    </row>
    <row r="491" spans="16:20" x14ac:dyDescent="0.25">
      <c r="P491">
        <v>1000</v>
      </c>
      <c r="Q491">
        <v>1000000</v>
      </c>
      <c r="R491">
        <v>52390</v>
      </c>
      <c r="S491">
        <v>19088</v>
      </c>
      <c r="T491">
        <v>52.39</v>
      </c>
    </row>
    <row r="492" spans="16:20" x14ac:dyDescent="0.25">
      <c r="P492">
        <v>1000</v>
      </c>
      <c r="Q492">
        <v>1000000</v>
      </c>
      <c r="R492">
        <v>52388</v>
      </c>
      <c r="S492">
        <v>19088</v>
      </c>
      <c r="T492">
        <v>52.387999999999998</v>
      </c>
    </row>
    <row r="493" spans="16:20" x14ac:dyDescent="0.25">
      <c r="P493">
        <v>1000</v>
      </c>
      <c r="Q493">
        <v>1000000</v>
      </c>
      <c r="R493">
        <v>52380</v>
      </c>
      <c r="S493">
        <v>19091</v>
      </c>
      <c r="T493">
        <v>52.38</v>
      </c>
    </row>
    <row r="494" spans="16:20" x14ac:dyDescent="0.25">
      <c r="P494">
        <v>1000</v>
      </c>
      <c r="Q494">
        <v>1000000</v>
      </c>
      <c r="R494">
        <v>52400</v>
      </c>
      <c r="S494">
        <v>19084</v>
      </c>
      <c r="T494">
        <v>52.4</v>
      </c>
    </row>
    <row r="495" spans="16:20" x14ac:dyDescent="0.25">
      <c r="P495">
        <v>1000</v>
      </c>
      <c r="Q495">
        <v>1000000</v>
      </c>
      <c r="R495">
        <v>52412</v>
      </c>
      <c r="S495">
        <v>19080</v>
      </c>
      <c r="T495">
        <v>52.411999999999999</v>
      </c>
    </row>
    <row r="496" spans="16:20" x14ac:dyDescent="0.25">
      <c r="P496">
        <v>1000</v>
      </c>
      <c r="Q496">
        <v>1000000</v>
      </c>
      <c r="R496">
        <v>52420</v>
      </c>
      <c r="S496">
        <v>19077</v>
      </c>
      <c r="T496">
        <v>52.42</v>
      </c>
    </row>
    <row r="497" spans="16:20" x14ac:dyDescent="0.25">
      <c r="P497">
        <v>1000</v>
      </c>
      <c r="Q497">
        <v>1000000</v>
      </c>
      <c r="R497">
        <v>52424</v>
      </c>
      <c r="S497">
        <v>19075</v>
      </c>
      <c r="T497">
        <v>52.423999999999999</v>
      </c>
    </row>
    <row r="499" spans="16:20" x14ac:dyDescent="0.25">
      <c r="P499">
        <v>1000</v>
      </c>
      <c r="Q499">
        <v>1000000</v>
      </c>
      <c r="R499">
        <v>52505</v>
      </c>
      <c r="S499">
        <v>19046</v>
      </c>
      <c r="T499">
        <v>52.505000000000003</v>
      </c>
    </row>
    <row r="500" spans="16:20" x14ac:dyDescent="0.25">
      <c r="P500">
        <v>1000</v>
      </c>
      <c r="Q500">
        <v>1000000</v>
      </c>
      <c r="R500">
        <v>52551</v>
      </c>
      <c r="S500">
        <v>19029</v>
      </c>
      <c r="T500">
        <v>52.551000000000002</v>
      </c>
    </row>
    <row r="501" spans="16:20" x14ac:dyDescent="0.25">
      <c r="P501">
        <v>1000</v>
      </c>
      <c r="Q501">
        <v>1000000</v>
      </c>
      <c r="R501">
        <v>52556</v>
      </c>
      <c r="S501">
        <v>19027</v>
      </c>
      <c r="T501">
        <v>52.555999999999997</v>
      </c>
    </row>
    <row r="502" spans="16:20" x14ac:dyDescent="0.25">
      <c r="P502">
        <v>1000</v>
      </c>
      <c r="Q502">
        <v>1000000</v>
      </c>
      <c r="R502">
        <v>52571</v>
      </c>
      <c r="S502">
        <v>19022</v>
      </c>
      <c r="T502">
        <v>52.570999999999998</v>
      </c>
    </row>
    <row r="503" spans="16:20" x14ac:dyDescent="0.25">
      <c r="P503">
        <v>1000</v>
      </c>
      <c r="Q503">
        <v>1000000</v>
      </c>
      <c r="R503">
        <v>52580</v>
      </c>
      <c r="S503">
        <v>19019</v>
      </c>
      <c r="T503">
        <v>52.58</v>
      </c>
    </row>
    <row r="504" spans="16:20" x14ac:dyDescent="0.25">
      <c r="P504">
        <v>1000</v>
      </c>
      <c r="Q504">
        <v>1000000</v>
      </c>
      <c r="R504">
        <v>52615</v>
      </c>
      <c r="S504">
        <v>19006</v>
      </c>
      <c r="T504">
        <v>52.615000000000002</v>
      </c>
    </row>
    <row r="505" spans="16:20" x14ac:dyDescent="0.25">
      <c r="P505">
        <v>1000</v>
      </c>
      <c r="Q505">
        <v>1000000</v>
      </c>
      <c r="R505">
        <v>52613</v>
      </c>
      <c r="S505">
        <v>19007</v>
      </c>
      <c r="T505">
        <v>52.613</v>
      </c>
    </row>
    <row r="506" spans="16:20" x14ac:dyDescent="0.25">
      <c r="P506">
        <v>1000</v>
      </c>
      <c r="Q506">
        <v>1000000</v>
      </c>
      <c r="R506">
        <v>52620</v>
      </c>
      <c r="S506">
        <v>19004</v>
      </c>
      <c r="T506">
        <v>52.62</v>
      </c>
    </row>
    <row r="507" spans="16:20" x14ac:dyDescent="0.25">
      <c r="P507">
        <v>1000</v>
      </c>
      <c r="Q507">
        <v>1000000</v>
      </c>
      <c r="R507">
        <v>52611</v>
      </c>
      <c r="S507">
        <v>19007</v>
      </c>
      <c r="T507">
        <v>52.610999999999997</v>
      </c>
    </row>
    <row r="508" spans="16:20" x14ac:dyDescent="0.25">
      <c r="P508">
        <v>1000</v>
      </c>
      <c r="Q508">
        <v>1000000</v>
      </c>
      <c r="R508">
        <v>52613</v>
      </c>
      <c r="S508">
        <v>19007</v>
      </c>
      <c r="T508">
        <v>52.613</v>
      </c>
    </row>
    <row r="509" spans="16:20" x14ac:dyDescent="0.25">
      <c r="P509">
        <v>1000</v>
      </c>
      <c r="Q509">
        <v>1000000</v>
      </c>
      <c r="R509">
        <v>52625</v>
      </c>
      <c r="S509">
        <v>19003</v>
      </c>
      <c r="T509">
        <v>52.625</v>
      </c>
    </row>
    <row r="510" spans="16:20" x14ac:dyDescent="0.25">
      <c r="P510">
        <v>1000</v>
      </c>
      <c r="Q510">
        <v>1000000</v>
      </c>
      <c r="R510">
        <v>52627</v>
      </c>
      <c r="S510">
        <v>19002</v>
      </c>
      <c r="T510">
        <v>52.627000000000002</v>
      </c>
    </row>
    <row r="511" spans="16:20" x14ac:dyDescent="0.25">
      <c r="P511">
        <v>1000</v>
      </c>
      <c r="Q511">
        <v>1000000</v>
      </c>
      <c r="R511">
        <v>52633</v>
      </c>
      <c r="S511">
        <v>19000</v>
      </c>
      <c r="T511">
        <v>52.633000000000003</v>
      </c>
    </row>
    <row r="512" spans="16:20" x14ac:dyDescent="0.25">
      <c r="P512">
        <v>1000</v>
      </c>
      <c r="Q512">
        <v>1000000</v>
      </c>
      <c r="R512">
        <v>52666</v>
      </c>
      <c r="S512">
        <v>18988</v>
      </c>
      <c r="T512">
        <v>52.665999999999997</v>
      </c>
    </row>
    <row r="513" spans="16:20" x14ac:dyDescent="0.25">
      <c r="P513">
        <v>1000</v>
      </c>
      <c r="Q513">
        <v>1000000</v>
      </c>
      <c r="R513">
        <v>54766</v>
      </c>
      <c r="S513">
        <v>18259</v>
      </c>
      <c r="T513">
        <v>54.765999999999998</v>
      </c>
    </row>
    <row r="514" spans="16:20" x14ac:dyDescent="0.25">
      <c r="P514">
        <v>1000</v>
      </c>
      <c r="Q514">
        <v>1000000</v>
      </c>
      <c r="R514">
        <v>54822</v>
      </c>
      <c r="S514">
        <v>18241</v>
      </c>
      <c r="T514">
        <v>54.822000000000003</v>
      </c>
    </row>
    <row r="515" spans="16:20" x14ac:dyDescent="0.25">
      <c r="P515">
        <v>1000</v>
      </c>
      <c r="Q515">
        <v>1000000</v>
      </c>
      <c r="R515">
        <v>54814</v>
      </c>
      <c r="S515">
        <v>18244</v>
      </c>
      <c r="T515">
        <v>54.814</v>
      </c>
    </row>
    <row r="516" spans="16:20" x14ac:dyDescent="0.25">
      <c r="P516">
        <v>1000</v>
      </c>
      <c r="Q516">
        <v>1000000</v>
      </c>
      <c r="R516">
        <v>54826</v>
      </c>
      <c r="S516">
        <v>18239</v>
      </c>
      <c r="T516">
        <v>54.826000000000001</v>
      </c>
    </row>
    <row r="517" spans="16:20" x14ac:dyDescent="0.25">
      <c r="P517">
        <v>1000</v>
      </c>
      <c r="Q517">
        <v>1000000</v>
      </c>
      <c r="R517">
        <v>54838</v>
      </c>
      <c r="S517">
        <v>18235</v>
      </c>
      <c r="T517">
        <v>54.838000000000001</v>
      </c>
    </row>
    <row r="518" spans="16:20" x14ac:dyDescent="0.25">
      <c r="P518">
        <v>1000</v>
      </c>
      <c r="Q518">
        <v>1000000</v>
      </c>
      <c r="R518">
        <v>54850</v>
      </c>
      <c r="S518">
        <v>18231</v>
      </c>
      <c r="T518">
        <v>54.85</v>
      </c>
    </row>
    <row r="519" spans="16:20" x14ac:dyDescent="0.25">
      <c r="P519">
        <v>1000</v>
      </c>
      <c r="Q519">
        <v>1000000</v>
      </c>
      <c r="R519">
        <v>54843</v>
      </c>
      <c r="S519">
        <v>18234</v>
      </c>
      <c r="T519">
        <v>54.843000000000004</v>
      </c>
    </row>
    <row r="520" spans="16:20" x14ac:dyDescent="0.25">
      <c r="P520">
        <v>1000</v>
      </c>
      <c r="Q520">
        <v>1000000</v>
      </c>
      <c r="R520">
        <v>54850</v>
      </c>
      <c r="S520">
        <v>18232</v>
      </c>
      <c r="T520">
        <v>54.85</v>
      </c>
    </row>
    <row r="521" spans="16:20" x14ac:dyDescent="0.25">
      <c r="P521">
        <v>1000</v>
      </c>
      <c r="Q521">
        <v>1000000</v>
      </c>
      <c r="R521">
        <v>54864</v>
      </c>
      <c r="S521">
        <v>18227</v>
      </c>
      <c r="T521">
        <v>54.863999999999997</v>
      </c>
    </row>
    <row r="522" spans="16:20" x14ac:dyDescent="0.25">
      <c r="P522">
        <v>1000</v>
      </c>
      <c r="Q522">
        <v>1000000</v>
      </c>
      <c r="R522">
        <v>54875</v>
      </c>
      <c r="S522">
        <v>18223</v>
      </c>
      <c r="T522">
        <v>54.875</v>
      </c>
    </row>
    <row r="523" spans="16:20" x14ac:dyDescent="0.25">
      <c r="P523">
        <v>1000</v>
      </c>
      <c r="Q523">
        <v>1000000</v>
      </c>
      <c r="R523">
        <v>54885</v>
      </c>
      <c r="S523">
        <v>18220</v>
      </c>
      <c r="T523">
        <v>54.884999999999998</v>
      </c>
    </row>
    <row r="524" spans="16:20" x14ac:dyDescent="0.25">
      <c r="P524">
        <v>1000</v>
      </c>
      <c r="Q524">
        <v>1000000</v>
      </c>
      <c r="R524">
        <v>54883</v>
      </c>
      <c r="S524">
        <v>18221</v>
      </c>
      <c r="T524">
        <v>54.883000000000003</v>
      </c>
    </row>
    <row r="525" spans="16:20" x14ac:dyDescent="0.25">
      <c r="P525">
        <v>1000</v>
      </c>
      <c r="Q525">
        <v>1000000</v>
      </c>
      <c r="R525">
        <v>54907</v>
      </c>
      <c r="S525">
        <v>18213</v>
      </c>
      <c r="T525">
        <v>54.906999999999996</v>
      </c>
    </row>
    <row r="526" spans="16:20" x14ac:dyDescent="0.25">
      <c r="P526">
        <v>1000</v>
      </c>
      <c r="Q526">
        <v>1000000</v>
      </c>
      <c r="R526">
        <v>54910</v>
      </c>
      <c r="S526">
        <v>18211</v>
      </c>
      <c r="T526">
        <v>54.91</v>
      </c>
    </row>
    <row r="527" spans="16:20" x14ac:dyDescent="0.25">
      <c r="P527">
        <v>1000</v>
      </c>
      <c r="Q527">
        <v>1000000</v>
      </c>
      <c r="R527">
        <v>54913</v>
      </c>
      <c r="S527">
        <v>18211</v>
      </c>
      <c r="T527">
        <v>54.912999999999997</v>
      </c>
    </row>
    <row r="529" spans="16:20" x14ac:dyDescent="0.25">
      <c r="P529">
        <v>1000</v>
      </c>
      <c r="Q529">
        <v>1000000</v>
      </c>
      <c r="R529">
        <v>54780</v>
      </c>
      <c r="S529">
        <v>18255</v>
      </c>
      <c r="T529">
        <v>54.78</v>
      </c>
    </row>
    <row r="530" spans="16:20" x14ac:dyDescent="0.25">
      <c r="P530">
        <v>1000</v>
      </c>
      <c r="Q530">
        <v>1000000</v>
      </c>
      <c r="R530">
        <v>54821</v>
      </c>
      <c r="S530">
        <v>18241</v>
      </c>
      <c r="T530">
        <v>54.820999999999998</v>
      </c>
    </row>
    <row r="531" spans="16:20" x14ac:dyDescent="0.25">
      <c r="P531">
        <v>1000</v>
      </c>
      <c r="Q531">
        <v>1000000</v>
      </c>
      <c r="R531">
        <v>54824</v>
      </c>
      <c r="S531">
        <v>18240</v>
      </c>
      <c r="T531">
        <v>54.823999999999998</v>
      </c>
    </row>
    <row r="532" spans="16:20" x14ac:dyDescent="0.25">
      <c r="P532">
        <v>1000</v>
      </c>
      <c r="Q532">
        <v>1000000</v>
      </c>
      <c r="R532">
        <v>54855</v>
      </c>
      <c r="S532">
        <v>18230</v>
      </c>
      <c r="T532">
        <v>54.854999999999997</v>
      </c>
    </row>
    <row r="533" spans="16:20" x14ac:dyDescent="0.25">
      <c r="P533">
        <v>1000</v>
      </c>
      <c r="Q533">
        <v>1000000</v>
      </c>
      <c r="R533">
        <v>54844</v>
      </c>
      <c r="S533">
        <v>18234</v>
      </c>
      <c r="T533">
        <v>54.844000000000001</v>
      </c>
    </row>
    <row r="534" spans="16:20" x14ac:dyDescent="0.25">
      <c r="P534">
        <v>1000</v>
      </c>
      <c r="Q534">
        <v>1000000</v>
      </c>
      <c r="R534">
        <v>54879</v>
      </c>
      <c r="S534">
        <v>18222</v>
      </c>
      <c r="T534">
        <v>54.878999999999998</v>
      </c>
    </row>
    <row r="535" spans="16:20" x14ac:dyDescent="0.25">
      <c r="P535">
        <v>1000</v>
      </c>
      <c r="Q535">
        <v>1000000</v>
      </c>
      <c r="R535">
        <v>54885</v>
      </c>
      <c r="S535">
        <v>18220</v>
      </c>
      <c r="T535">
        <v>54.884999999999998</v>
      </c>
    </row>
    <row r="536" spans="16:20" x14ac:dyDescent="0.25">
      <c r="P536">
        <v>1000</v>
      </c>
      <c r="Q536">
        <v>1000000</v>
      </c>
      <c r="R536">
        <v>54881</v>
      </c>
      <c r="S536">
        <v>18221</v>
      </c>
      <c r="T536">
        <v>54.881</v>
      </c>
    </row>
    <row r="537" spans="16:20" x14ac:dyDescent="0.25">
      <c r="P537">
        <v>1000</v>
      </c>
      <c r="Q537">
        <v>1000000</v>
      </c>
      <c r="R537">
        <v>54890</v>
      </c>
      <c r="S537">
        <v>18218</v>
      </c>
      <c r="T537">
        <v>54.89</v>
      </c>
    </row>
    <row r="538" spans="16:20" x14ac:dyDescent="0.25">
      <c r="P538">
        <v>1000</v>
      </c>
      <c r="Q538">
        <v>1000000</v>
      </c>
      <c r="R538">
        <v>54892</v>
      </c>
      <c r="S538">
        <v>18218</v>
      </c>
      <c r="T538">
        <v>54.892000000000003</v>
      </c>
    </row>
    <row r="539" spans="16:20" x14ac:dyDescent="0.25">
      <c r="P539">
        <v>1000</v>
      </c>
      <c r="Q539">
        <v>1000000</v>
      </c>
      <c r="R539">
        <v>54897</v>
      </c>
      <c r="S539">
        <v>18216</v>
      </c>
      <c r="T539">
        <v>54.896999999999998</v>
      </c>
    </row>
    <row r="540" spans="16:20" x14ac:dyDescent="0.25">
      <c r="P540">
        <v>1000</v>
      </c>
      <c r="Q540">
        <v>1000000</v>
      </c>
      <c r="R540">
        <v>54907</v>
      </c>
      <c r="S540">
        <v>18213</v>
      </c>
      <c r="T540">
        <v>54.906999999999996</v>
      </c>
    </row>
    <row r="541" spans="16:20" x14ac:dyDescent="0.25">
      <c r="P541">
        <v>1000</v>
      </c>
      <c r="Q541">
        <v>1000000</v>
      </c>
      <c r="R541">
        <v>54921</v>
      </c>
      <c r="S541">
        <v>18208</v>
      </c>
      <c r="T541">
        <v>54.920999999999999</v>
      </c>
    </row>
    <row r="542" spans="16:20" x14ac:dyDescent="0.25">
      <c r="P542">
        <v>1000</v>
      </c>
      <c r="Q542">
        <v>1000000</v>
      </c>
      <c r="R542">
        <v>54940</v>
      </c>
      <c r="S542">
        <v>18202</v>
      </c>
      <c r="T542">
        <v>54.94</v>
      </c>
    </row>
    <row r="543" spans="16:20" x14ac:dyDescent="0.25">
      <c r="P543">
        <v>1000</v>
      </c>
      <c r="Q543">
        <v>1000000</v>
      </c>
      <c r="R543">
        <v>56613</v>
      </c>
      <c r="S543">
        <v>17664</v>
      </c>
      <c r="T543">
        <v>56.613</v>
      </c>
    </row>
    <row r="544" spans="16:20" x14ac:dyDescent="0.25">
      <c r="P544">
        <v>1000</v>
      </c>
      <c r="Q544">
        <v>1000000</v>
      </c>
      <c r="R544">
        <v>56625</v>
      </c>
      <c r="S544">
        <v>17660</v>
      </c>
      <c r="T544">
        <v>56.625</v>
      </c>
    </row>
    <row r="545" spans="16:20" x14ac:dyDescent="0.25">
      <c r="P545">
        <v>1000</v>
      </c>
      <c r="Q545">
        <v>1000000</v>
      </c>
      <c r="R545">
        <v>56623</v>
      </c>
      <c r="S545">
        <v>17661</v>
      </c>
      <c r="T545">
        <v>56.622999999999998</v>
      </c>
    </row>
    <row r="546" spans="16:20" x14ac:dyDescent="0.25">
      <c r="P546">
        <v>1000</v>
      </c>
      <c r="Q546">
        <v>1000000</v>
      </c>
      <c r="R546">
        <v>56622</v>
      </c>
      <c r="S546">
        <v>17661</v>
      </c>
      <c r="T546">
        <v>56.622</v>
      </c>
    </row>
    <row r="547" spans="16:20" x14ac:dyDescent="0.25">
      <c r="P547">
        <v>1000</v>
      </c>
      <c r="Q547">
        <v>1000000</v>
      </c>
      <c r="R547">
        <v>56640</v>
      </c>
      <c r="S547">
        <v>17655</v>
      </c>
      <c r="T547">
        <v>56.64</v>
      </c>
    </row>
    <row r="548" spans="16:20" x14ac:dyDescent="0.25">
      <c r="P548">
        <v>1000</v>
      </c>
      <c r="Q548">
        <v>1000000</v>
      </c>
      <c r="R548">
        <v>56650</v>
      </c>
      <c r="S548">
        <v>17652</v>
      </c>
      <c r="T548">
        <v>56.65</v>
      </c>
    </row>
    <row r="549" spans="16:20" x14ac:dyDescent="0.25">
      <c r="P549">
        <v>1000</v>
      </c>
      <c r="Q549">
        <v>1000000</v>
      </c>
      <c r="R549">
        <v>56663</v>
      </c>
      <c r="S549">
        <v>17648</v>
      </c>
      <c r="T549">
        <v>56.662999999999997</v>
      </c>
    </row>
    <row r="550" spans="16:20" x14ac:dyDescent="0.25">
      <c r="P550">
        <v>1000</v>
      </c>
      <c r="Q550">
        <v>1000000</v>
      </c>
      <c r="R550">
        <v>56660</v>
      </c>
      <c r="S550">
        <v>17649</v>
      </c>
      <c r="T550">
        <v>56.66</v>
      </c>
    </row>
    <row r="551" spans="16:20" x14ac:dyDescent="0.25">
      <c r="P551">
        <v>1000</v>
      </c>
      <c r="Q551">
        <v>1000000</v>
      </c>
      <c r="R551">
        <v>56658</v>
      </c>
      <c r="S551">
        <v>17650</v>
      </c>
      <c r="T551">
        <v>56.658000000000001</v>
      </c>
    </row>
    <row r="552" spans="16:20" x14ac:dyDescent="0.25">
      <c r="P552">
        <v>1000</v>
      </c>
      <c r="Q552">
        <v>1000000</v>
      </c>
      <c r="R552">
        <v>56680</v>
      </c>
      <c r="S552">
        <v>17643</v>
      </c>
      <c r="T552">
        <v>56.68</v>
      </c>
    </row>
    <row r="553" spans="16:20" x14ac:dyDescent="0.25">
      <c r="P553">
        <v>1000</v>
      </c>
      <c r="Q553">
        <v>1000000</v>
      </c>
      <c r="R553">
        <v>56696</v>
      </c>
      <c r="S553">
        <v>17638</v>
      </c>
      <c r="T553">
        <v>56.695999999999998</v>
      </c>
    </row>
    <row r="554" spans="16:20" x14ac:dyDescent="0.25">
      <c r="P554">
        <v>1000</v>
      </c>
      <c r="Q554">
        <v>1000000</v>
      </c>
      <c r="R554">
        <v>56693</v>
      </c>
      <c r="S554">
        <v>17639</v>
      </c>
      <c r="T554">
        <v>56.692999999999998</v>
      </c>
    </row>
    <row r="555" spans="16:20" x14ac:dyDescent="0.25">
      <c r="P555">
        <v>1000</v>
      </c>
      <c r="Q555">
        <v>1000000</v>
      </c>
      <c r="R555">
        <v>56705</v>
      </c>
      <c r="S555">
        <v>17635</v>
      </c>
      <c r="T555">
        <v>56.704999999999998</v>
      </c>
    </row>
    <row r="556" spans="16:20" x14ac:dyDescent="0.25">
      <c r="P556">
        <v>1000</v>
      </c>
      <c r="Q556">
        <v>1000000</v>
      </c>
      <c r="R556">
        <v>56657</v>
      </c>
      <c r="S556">
        <v>17650</v>
      </c>
      <c r="T556">
        <v>56.656999999999996</v>
      </c>
    </row>
    <row r="557" spans="16:20" x14ac:dyDescent="0.25">
      <c r="P557">
        <v>1000</v>
      </c>
      <c r="Q557">
        <v>1000000</v>
      </c>
      <c r="R557">
        <v>57129</v>
      </c>
      <c r="S557">
        <v>17504</v>
      </c>
      <c r="T557">
        <v>57.128999999999998</v>
      </c>
    </row>
    <row r="558" spans="16:20" x14ac:dyDescent="0.25">
      <c r="P558">
        <v>1000</v>
      </c>
      <c r="Q558">
        <v>1000000</v>
      </c>
      <c r="R558">
        <v>57133</v>
      </c>
      <c r="S558">
        <v>17503</v>
      </c>
      <c r="T558">
        <v>57.133000000000003</v>
      </c>
    </row>
    <row r="560" spans="16:20" x14ac:dyDescent="0.25">
      <c r="P560">
        <v>1000</v>
      </c>
      <c r="Q560">
        <v>1000000</v>
      </c>
      <c r="R560">
        <v>49184</v>
      </c>
      <c r="S560">
        <v>20332</v>
      </c>
      <c r="T560">
        <v>49.183999999999997</v>
      </c>
    </row>
    <row r="561" spans="16:20" x14ac:dyDescent="0.25">
      <c r="P561">
        <v>1000</v>
      </c>
      <c r="Q561">
        <v>1000000</v>
      </c>
      <c r="R561">
        <v>49204</v>
      </c>
      <c r="S561">
        <v>20324</v>
      </c>
      <c r="T561">
        <v>49.204000000000001</v>
      </c>
    </row>
    <row r="562" spans="16:20" x14ac:dyDescent="0.25">
      <c r="P562">
        <v>1000</v>
      </c>
      <c r="Q562">
        <v>1000000</v>
      </c>
      <c r="R562">
        <v>49210</v>
      </c>
      <c r="S562">
        <v>20321</v>
      </c>
      <c r="T562">
        <v>49.21</v>
      </c>
    </row>
    <row r="563" spans="16:20" x14ac:dyDescent="0.25">
      <c r="P563">
        <v>1000</v>
      </c>
      <c r="Q563">
        <v>1000000</v>
      </c>
      <c r="R563">
        <v>49232</v>
      </c>
      <c r="S563">
        <v>20312</v>
      </c>
      <c r="T563">
        <v>49.231999999999999</v>
      </c>
    </row>
    <row r="564" spans="16:20" x14ac:dyDescent="0.25">
      <c r="P564">
        <v>1000</v>
      </c>
      <c r="Q564">
        <v>1000000</v>
      </c>
      <c r="R564">
        <v>49261</v>
      </c>
      <c r="S564">
        <v>20300</v>
      </c>
      <c r="T564">
        <v>49.261000000000003</v>
      </c>
    </row>
    <row r="565" spans="16:20" x14ac:dyDescent="0.25">
      <c r="P565">
        <v>1000</v>
      </c>
      <c r="Q565">
        <v>1000000</v>
      </c>
      <c r="R565">
        <v>49265</v>
      </c>
      <c r="S565">
        <v>20298</v>
      </c>
      <c r="T565">
        <v>49.265000000000001</v>
      </c>
    </row>
    <row r="566" spans="16:20" x14ac:dyDescent="0.25">
      <c r="P566">
        <v>1000</v>
      </c>
      <c r="Q566">
        <v>1000000</v>
      </c>
      <c r="R566">
        <v>49272</v>
      </c>
      <c r="S566">
        <v>20295</v>
      </c>
      <c r="T566">
        <v>49.271999999999998</v>
      </c>
    </row>
    <row r="567" spans="16:20" x14ac:dyDescent="0.25">
      <c r="P567">
        <v>1000</v>
      </c>
      <c r="Q567">
        <v>1000000</v>
      </c>
      <c r="R567">
        <v>49277</v>
      </c>
      <c r="S567">
        <v>20293</v>
      </c>
      <c r="T567">
        <v>49.277000000000001</v>
      </c>
    </row>
    <row r="568" spans="16:20" x14ac:dyDescent="0.25">
      <c r="P568">
        <v>1000</v>
      </c>
      <c r="Q568">
        <v>1000000</v>
      </c>
      <c r="R568">
        <v>49299</v>
      </c>
      <c r="S568">
        <v>20284</v>
      </c>
      <c r="T568">
        <v>49.298999999999999</v>
      </c>
    </row>
    <row r="569" spans="16:20" x14ac:dyDescent="0.25">
      <c r="P569">
        <v>1000</v>
      </c>
      <c r="Q569">
        <v>1000000</v>
      </c>
      <c r="R569">
        <v>49302</v>
      </c>
      <c r="S569">
        <v>20283</v>
      </c>
      <c r="T569">
        <v>49.302</v>
      </c>
    </row>
    <row r="570" spans="16:20" x14ac:dyDescent="0.25">
      <c r="P570">
        <v>1000</v>
      </c>
      <c r="Q570">
        <v>1000000</v>
      </c>
      <c r="R570">
        <v>49328</v>
      </c>
      <c r="S570">
        <v>20272</v>
      </c>
      <c r="T570">
        <v>49.328000000000003</v>
      </c>
    </row>
    <row r="571" spans="16:20" x14ac:dyDescent="0.25">
      <c r="P571">
        <v>1000</v>
      </c>
      <c r="Q571">
        <v>1000000</v>
      </c>
      <c r="R571">
        <v>54320</v>
      </c>
      <c r="S571">
        <v>18409</v>
      </c>
      <c r="T571">
        <v>54.32</v>
      </c>
    </row>
    <row r="572" spans="16:20" x14ac:dyDescent="0.25">
      <c r="P572">
        <v>1000</v>
      </c>
      <c r="Q572">
        <v>1000000</v>
      </c>
      <c r="R572">
        <v>55162</v>
      </c>
      <c r="S572">
        <v>18128</v>
      </c>
      <c r="T572">
        <v>55.161999999999999</v>
      </c>
    </row>
    <row r="573" spans="16:20" x14ac:dyDescent="0.25">
      <c r="P573">
        <v>1000</v>
      </c>
      <c r="Q573">
        <v>1000000</v>
      </c>
      <c r="R573">
        <v>56517</v>
      </c>
      <c r="S573">
        <v>17694</v>
      </c>
      <c r="T573">
        <v>56.517000000000003</v>
      </c>
    </row>
    <row r="574" spans="16:20" x14ac:dyDescent="0.25">
      <c r="P574">
        <v>1000</v>
      </c>
      <c r="Q574">
        <v>1000000</v>
      </c>
      <c r="R574">
        <v>56781</v>
      </c>
      <c r="S574">
        <v>17612</v>
      </c>
      <c r="T574">
        <v>56.780999999999999</v>
      </c>
    </row>
    <row r="575" spans="16:20" x14ac:dyDescent="0.25">
      <c r="P575">
        <v>1000</v>
      </c>
      <c r="Q575">
        <v>1000000</v>
      </c>
      <c r="R575">
        <v>57406</v>
      </c>
      <c r="S575">
        <v>17420</v>
      </c>
      <c r="T575">
        <v>57.405999999999999</v>
      </c>
    </row>
    <row r="576" spans="16:20" x14ac:dyDescent="0.25">
      <c r="P576">
        <v>1000</v>
      </c>
      <c r="Q576">
        <v>1000000</v>
      </c>
      <c r="R576">
        <v>57417</v>
      </c>
      <c r="S576">
        <v>17417</v>
      </c>
      <c r="T576">
        <v>57.417000000000002</v>
      </c>
    </row>
    <row r="577" spans="16:20" x14ac:dyDescent="0.25">
      <c r="P577">
        <v>1000</v>
      </c>
      <c r="Q577">
        <v>1000000</v>
      </c>
      <c r="R577">
        <v>57430</v>
      </c>
      <c r="S577">
        <v>17413</v>
      </c>
      <c r="T577">
        <v>57.43</v>
      </c>
    </row>
    <row r="578" spans="16:20" x14ac:dyDescent="0.25">
      <c r="P578">
        <v>1000</v>
      </c>
      <c r="Q578">
        <v>1000000</v>
      </c>
      <c r="R578">
        <v>57448</v>
      </c>
      <c r="S578">
        <v>17407</v>
      </c>
      <c r="T578">
        <v>57.448</v>
      </c>
    </row>
    <row r="579" spans="16:20" x14ac:dyDescent="0.25">
      <c r="P579">
        <v>1000</v>
      </c>
      <c r="Q579">
        <v>1000000</v>
      </c>
      <c r="R579">
        <v>58810</v>
      </c>
      <c r="S579">
        <v>17004</v>
      </c>
      <c r="T579">
        <v>58.81</v>
      </c>
    </row>
    <row r="580" spans="16:20" x14ac:dyDescent="0.25">
      <c r="P580">
        <v>1000</v>
      </c>
      <c r="Q580">
        <v>1000000</v>
      </c>
      <c r="R580">
        <v>59097</v>
      </c>
      <c r="S580">
        <v>16921</v>
      </c>
      <c r="T580">
        <v>59.097000000000001</v>
      </c>
    </row>
    <row r="581" spans="16:20" x14ac:dyDescent="0.25">
      <c r="P581">
        <v>1000</v>
      </c>
      <c r="Q581">
        <v>1000000</v>
      </c>
      <c r="R581">
        <v>59142</v>
      </c>
      <c r="S581">
        <v>16909</v>
      </c>
      <c r="T581">
        <v>59.142000000000003</v>
      </c>
    </row>
    <row r="582" spans="16:20" x14ac:dyDescent="0.25">
      <c r="P582">
        <v>1000</v>
      </c>
      <c r="Q582">
        <v>1000000</v>
      </c>
      <c r="R582">
        <v>59160</v>
      </c>
      <c r="S582">
        <v>16903</v>
      </c>
      <c r="T582">
        <v>59.16</v>
      </c>
    </row>
    <row r="583" spans="16:20" x14ac:dyDescent="0.25">
      <c r="P583">
        <v>1000</v>
      </c>
      <c r="Q583">
        <v>1000000</v>
      </c>
      <c r="R583">
        <v>59197</v>
      </c>
      <c r="S583">
        <v>16893</v>
      </c>
      <c r="T583">
        <v>59.197000000000003</v>
      </c>
    </row>
    <row r="584" spans="16:20" x14ac:dyDescent="0.25">
      <c r="P584">
        <v>1000</v>
      </c>
      <c r="Q584">
        <v>1000000</v>
      </c>
      <c r="R584">
        <v>59208</v>
      </c>
      <c r="S584">
        <v>16890</v>
      </c>
      <c r="T584">
        <v>59.207999999999998</v>
      </c>
    </row>
    <row r="585" spans="16:20" x14ac:dyDescent="0.25">
      <c r="P585">
        <v>1000</v>
      </c>
      <c r="Q585">
        <v>1000000</v>
      </c>
      <c r="R585">
        <v>59222</v>
      </c>
      <c r="S585">
        <v>16886</v>
      </c>
      <c r="T585">
        <v>59.222000000000001</v>
      </c>
    </row>
    <row r="586" spans="16:20" x14ac:dyDescent="0.25">
      <c r="P586">
        <v>1000</v>
      </c>
      <c r="Q586">
        <v>1000000</v>
      </c>
      <c r="R586">
        <v>59227</v>
      </c>
      <c r="S586">
        <v>16884</v>
      </c>
      <c r="T586">
        <v>59.226999999999997</v>
      </c>
    </row>
    <row r="587" spans="16:20" x14ac:dyDescent="0.25">
      <c r="P587">
        <v>1000</v>
      </c>
      <c r="Q587">
        <v>1000000</v>
      </c>
      <c r="R587">
        <v>59234</v>
      </c>
      <c r="S587">
        <v>16882</v>
      </c>
      <c r="T587">
        <v>59.234000000000002</v>
      </c>
    </row>
    <row r="588" spans="16:20" x14ac:dyDescent="0.25">
      <c r="P588">
        <v>1000</v>
      </c>
      <c r="Q588">
        <v>1000000</v>
      </c>
      <c r="R588">
        <v>59261</v>
      </c>
      <c r="S588">
        <v>16875</v>
      </c>
      <c r="T588">
        <v>59.261000000000003</v>
      </c>
    </row>
    <row r="589" spans="16:20" x14ac:dyDescent="0.25">
      <c r="P589">
        <v>1000</v>
      </c>
      <c r="Q589">
        <v>1000000</v>
      </c>
      <c r="R589">
        <v>59267</v>
      </c>
      <c r="S589">
        <v>16873</v>
      </c>
      <c r="T589">
        <v>59.267000000000003</v>
      </c>
    </row>
    <row r="590" spans="16:20" x14ac:dyDescent="0.25">
      <c r="P590">
        <v>1000</v>
      </c>
      <c r="Q590">
        <v>1000000</v>
      </c>
      <c r="R590">
        <v>59288</v>
      </c>
      <c r="S590">
        <v>16867</v>
      </c>
      <c r="T590">
        <v>59.287999999999997</v>
      </c>
    </row>
    <row r="592" spans="16:20" x14ac:dyDescent="0.25">
      <c r="P592">
        <v>1000</v>
      </c>
      <c r="Q592">
        <v>1000000</v>
      </c>
      <c r="R592">
        <v>59651</v>
      </c>
      <c r="S592">
        <v>16764</v>
      </c>
      <c r="T592">
        <v>59.651000000000003</v>
      </c>
    </row>
    <row r="593" spans="16:20" x14ac:dyDescent="0.25">
      <c r="P593">
        <v>1000</v>
      </c>
      <c r="Q593">
        <v>1000000</v>
      </c>
      <c r="R593">
        <v>59718</v>
      </c>
      <c r="S593">
        <v>16745</v>
      </c>
      <c r="T593">
        <v>59.718000000000004</v>
      </c>
    </row>
    <row r="594" spans="16:20" x14ac:dyDescent="0.25">
      <c r="P594">
        <v>1000</v>
      </c>
      <c r="Q594">
        <v>1000000</v>
      </c>
      <c r="R594">
        <v>59729</v>
      </c>
      <c r="S594">
        <v>16742</v>
      </c>
      <c r="T594">
        <v>59.728999999999999</v>
      </c>
    </row>
    <row r="595" spans="16:20" x14ac:dyDescent="0.25">
      <c r="P595">
        <v>1000</v>
      </c>
      <c r="Q595">
        <v>1000000</v>
      </c>
      <c r="R595">
        <v>59727</v>
      </c>
      <c r="S595">
        <v>16743</v>
      </c>
      <c r="T595">
        <v>59.726999999999997</v>
      </c>
    </row>
    <row r="596" spans="16:20" x14ac:dyDescent="0.25">
      <c r="P596">
        <v>1000</v>
      </c>
      <c r="Q596">
        <v>1000000</v>
      </c>
      <c r="R596">
        <v>59741</v>
      </c>
      <c r="S596">
        <v>16739</v>
      </c>
      <c r="T596">
        <v>59.741</v>
      </c>
    </row>
    <row r="597" spans="16:20" x14ac:dyDescent="0.25">
      <c r="P597">
        <v>1000</v>
      </c>
      <c r="Q597">
        <v>1000000</v>
      </c>
      <c r="R597">
        <v>59738</v>
      </c>
      <c r="S597">
        <v>16740</v>
      </c>
      <c r="T597">
        <v>59.738</v>
      </c>
    </row>
    <row r="598" spans="16:20" x14ac:dyDescent="0.25">
      <c r="P598">
        <v>1000</v>
      </c>
      <c r="Q598">
        <v>1000000</v>
      </c>
      <c r="R598">
        <v>59786</v>
      </c>
      <c r="S598">
        <v>16726</v>
      </c>
      <c r="T598">
        <v>59.786000000000001</v>
      </c>
    </row>
    <row r="599" spans="16:20" x14ac:dyDescent="0.25">
      <c r="P599">
        <v>1000</v>
      </c>
      <c r="Q599">
        <v>1000000</v>
      </c>
      <c r="R599">
        <v>59784</v>
      </c>
      <c r="S599">
        <v>16727</v>
      </c>
      <c r="T599">
        <v>59.783999999999999</v>
      </c>
    </row>
    <row r="600" spans="16:20" x14ac:dyDescent="0.25">
      <c r="P600">
        <v>1000</v>
      </c>
      <c r="Q600">
        <v>1000000</v>
      </c>
      <c r="R600">
        <v>59787</v>
      </c>
      <c r="S600">
        <v>16726</v>
      </c>
      <c r="T600">
        <v>59.786999999999999</v>
      </c>
    </row>
    <row r="601" spans="16:20" x14ac:dyDescent="0.25">
      <c r="P601">
        <v>1000</v>
      </c>
      <c r="Q601">
        <v>1000000</v>
      </c>
      <c r="R601">
        <v>59792</v>
      </c>
      <c r="S601">
        <v>16725</v>
      </c>
      <c r="T601">
        <v>59.792000000000002</v>
      </c>
    </row>
    <row r="602" spans="16:20" x14ac:dyDescent="0.25">
      <c r="P602">
        <v>1000</v>
      </c>
      <c r="Q602">
        <v>1000000</v>
      </c>
      <c r="R602">
        <v>59810</v>
      </c>
      <c r="S602">
        <v>16720</v>
      </c>
      <c r="T602">
        <v>59.81</v>
      </c>
    </row>
    <row r="603" spans="16:20" x14ac:dyDescent="0.25">
      <c r="P603">
        <v>1000</v>
      </c>
      <c r="Q603">
        <v>1000000</v>
      </c>
      <c r="R603">
        <v>59820</v>
      </c>
      <c r="S603">
        <v>16717</v>
      </c>
      <c r="T603">
        <v>59.82</v>
      </c>
    </row>
    <row r="604" spans="16:20" x14ac:dyDescent="0.25">
      <c r="P604">
        <v>1000</v>
      </c>
      <c r="Q604">
        <v>1000000</v>
      </c>
      <c r="R604">
        <v>59822</v>
      </c>
      <c r="S604">
        <v>16716</v>
      </c>
      <c r="T604">
        <v>59.822000000000003</v>
      </c>
    </row>
    <row r="605" spans="16:20" x14ac:dyDescent="0.25">
      <c r="P605">
        <v>1000</v>
      </c>
      <c r="Q605">
        <v>1000000</v>
      </c>
      <c r="R605">
        <v>59830</v>
      </c>
      <c r="S605">
        <v>16714</v>
      </c>
      <c r="T605">
        <v>59.83</v>
      </c>
    </row>
    <row r="606" spans="16:20" x14ac:dyDescent="0.25">
      <c r="P606">
        <v>1000</v>
      </c>
      <c r="Q606">
        <v>1000000</v>
      </c>
      <c r="R606">
        <v>59846</v>
      </c>
      <c r="S606">
        <v>16709</v>
      </c>
      <c r="T606">
        <v>59.845999999999997</v>
      </c>
    </row>
    <row r="607" spans="16:20" x14ac:dyDescent="0.25">
      <c r="P607">
        <v>1000</v>
      </c>
      <c r="Q607">
        <v>1000000</v>
      </c>
      <c r="R607">
        <v>59863</v>
      </c>
      <c r="S607">
        <v>16705</v>
      </c>
      <c r="T607">
        <v>59.863</v>
      </c>
    </row>
    <row r="608" spans="16:20" x14ac:dyDescent="0.25">
      <c r="P608">
        <v>1000</v>
      </c>
      <c r="Q608">
        <v>1000000</v>
      </c>
      <c r="R608">
        <v>60134</v>
      </c>
      <c r="S608">
        <v>16630</v>
      </c>
      <c r="T608">
        <v>60.134</v>
      </c>
    </row>
    <row r="609" spans="16:20" x14ac:dyDescent="0.25">
      <c r="P609">
        <v>1000</v>
      </c>
      <c r="Q609">
        <v>1000000</v>
      </c>
      <c r="R609">
        <v>60149</v>
      </c>
      <c r="S609">
        <v>16625</v>
      </c>
      <c r="T609">
        <v>60.149000000000001</v>
      </c>
    </row>
    <row r="610" spans="16:20" x14ac:dyDescent="0.25">
      <c r="P610">
        <v>1000</v>
      </c>
      <c r="Q610">
        <v>1000000</v>
      </c>
      <c r="R610">
        <v>60145</v>
      </c>
      <c r="S610">
        <v>16626</v>
      </c>
      <c r="T610">
        <v>60.145000000000003</v>
      </c>
    </row>
    <row r="611" spans="16:20" x14ac:dyDescent="0.25">
      <c r="P611">
        <v>1000</v>
      </c>
      <c r="Q611">
        <v>1000000</v>
      </c>
      <c r="R611">
        <v>60147</v>
      </c>
      <c r="S611">
        <v>16626</v>
      </c>
      <c r="T611">
        <v>60.146999999999998</v>
      </c>
    </row>
    <row r="612" spans="16:20" x14ac:dyDescent="0.25">
      <c r="P612">
        <v>1000</v>
      </c>
      <c r="Q612">
        <v>1000000</v>
      </c>
      <c r="R612">
        <v>60160</v>
      </c>
      <c r="S612">
        <v>16622</v>
      </c>
      <c r="T612">
        <v>60.16</v>
      </c>
    </row>
    <row r="613" spans="16:20" x14ac:dyDescent="0.25">
      <c r="P613">
        <v>1000</v>
      </c>
      <c r="Q613">
        <v>1000000</v>
      </c>
      <c r="R613">
        <v>60162</v>
      </c>
      <c r="S613">
        <v>16622</v>
      </c>
      <c r="T613">
        <v>60.161999999999999</v>
      </c>
    </row>
    <row r="614" spans="16:20" x14ac:dyDescent="0.25">
      <c r="P614">
        <v>1000</v>
      </c>
      <c r="Q614">
        <v>1000000</v>
      </c>
      <c r="R614">
        <v>60152</v>
      </c>
      <c r="S614">
        <v>16625</v>
      </c>
      <c r="T614">
        <v>60.152000000000001</v>
      </c>
    </row>
    <row r="615" spans="16:20" x14ac:dyDescent="0.25">
      <c r="P615">
        <v>1000</v>
      </c>
      <c r="Q615">
        <v>1000000</v>
      </c>
      <c r="R615">
        <v>60151</v>
      </c>
      <c r="S615">
        <v>16625</v>
      </c>
      <c r="T615">
        <v>60.151000000000003</v>
      </c>
    </row>
    <row r="616" spans="16:20" x14ac:dyDescent="0.25">
      <c r="P616">
        <v>1000</v>
      </c>
      <c r="Q616">
        <v>1000000</v>
      </c>
      <c r="R616">
        <v>60155</v>
      </c>
      <c r="S616">
        <v>16624</v>
      </c>
      <c r="T616">
        <v>60.155000000000001</v>
      </c>
    </row>
    <row r="617" spans="16:20" x14ac:dyDescent="0.25">
      <c r="P617">
        <v>1000</v>
      </c>
      <c r="Q617">
        <v>1000000</v>
      </c>
      <c r="R617">
        <v>60158</v>
      </c>
      <c r="S617">
        <v>16623</v>
      </c>
      <c r="T617">
        <v>60.158000000000001</v>
      </c>
    </row>
    <row r="618" spans="16:20" x14ac:dyDescent="0.25">
      <c r="P618">
        <v>1000</v>
      </c>
      <c r="Q618">
        <v>1000000</v>
      </c>
      <c r="R618">
        <v>60162</v>
      </c>
      <c r="S618">
        <v>16622</v>
      </c>
      <c r="T618">
        <v>60.161999999999999</v>
      </c>
    </row>
    <row r="619" spans="16:20" x14ac:dyDescent="0.25">
      <c r="P619">
        <v>1000</v>
      </c>
      <c r="Q619">
        <v>1000000</v>
      </c>
      <c r="R619">
        <v>60178</v>
      </c>
      <c r="S619">
        <v>16617</v>
      </c>
      <c r="T619">
        <v>60.177999999999997</v>
      </c>
    </row>
    <row r="620" spans="16:20" x14ac:dyDescent="0.25">
      <c r="P620">
        <v>1000</v>
      </c>
      <c r="Q620">
        <v>1000000</v>
      </c>
      <c r="R620">
        <v>60171</v>
      </c>
      <c r="S620">
        <v>16619</v>
      </c>
      <c r="T620">
        <v>60.170999999999999</v>
      </c>
    </row>
    <row r="621" spans="16:20" x14ac:dyDescent="0.25">
      <c r="P621">
        <v>1000</v>
      </c>
      <c r="Q621">
        <v>1000000</v>
      </c>
      <c r="R621">
        <v>60175</v>
      </c>
      <c r="S621">
        <v>16618</v>
      </c>
      <c r="T621">
        <v>60.174999999999997</v>
      </c>
    </row>
    <row r="622" spans="16:20" x14ac:dyDescent="0.25">
      <c r="P622">
        <v>1000</v>
      </c>
      <c r="Q622">
        <v>1000000</v>
      </c>
      <c r="R622">
        <v>60194</v>
      </c>
      <c r="S622">
        <v>16613</v>
      </c>
      <c r="T622">
        <v>60.194000000000003</v>
      </c>
    </row>
    <row r="623" spans="16:20" x14ac:dyDescent="0.25">
      <c r="P623">
        <v>1000</v>
      </c>
      <c r="Q623">
        <v>1000000</v>
      </c>
      <c r="R623">
        <v>60187</v>
      </c>
      <c r="S623">
        <v>16615</v>
      </c>
      <c r="T623">
        <v>60.186999999999998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6</vt:i4>
      </vt:variant>
    </vt:vector>
  </HeadingPairs>
  <TitlesOfParts>
    <vt:vector size="7" baseType="lpstr">
      <vt:lpstr>Data</vt:lpstr>
      <vt:lpstr>Decode time - i5-12500H</vt:lpstr>
      <vt:lpstr>Decode time - i5-9600k</vt:lpstr>
      <vt:lpstr>Decode time - N100</vt:lpstr>
      <vt:lpstr>Processors</vt:lpstr>
      <vt:lpstr>Decode threading</vt:lpstr>
      <vt:lpstr>Decodes_s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jorgen</dc:creator>
  <cp:lastModifiedBy>jorgen</cp:lastModifiedBy>
  <dcterms:created xsi:type="dcterms:W3CDTF">2025-11-13T07:27:43Z</dcterms:created>
  <dcterms:modified xsi:type="dcterms:W3CDTF">2025-12-08T19:39:06Z</dcterms:modified>
</cp:coreProperties>
</file>