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2.xml" ContentType="application/vnd.openxmlformats-officedocument.spreadsheetml.work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J:\files\c\enigma\documents\"/>
    </mc:Choice>
  </mc:AlternateContent>
  <bookViews>
    <workbookView xWindow="0" yWindow="0" windowWidth="14400" windowHeight="10560" activeTab="3"/>
  </bookViews>
  <sheets>
    <sheet name="cribs" sheetId="1" r:id="rId1"/>
    <sheet name="Crib Chart 2" sheetId="4" r:id="rId2"/>
    <sheet name="Crib chart" sheetId="2" r:id="rId3"/>
    <sheet name="Bombe data" sheetId="5" r:id="rId4"/>
    <sheet name="Bombe Time" sheetId="6" r:id="rId5"/>
    <sheet name="Bombe Overlap" sheetId="8" r:id="rId6"/>
    <sheet name="Candidates" sheetId="9" r:id="rId7"/>
    <sheet name="Passes" sheetId="10" r:id="rId8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X483" i="5" l="1"/>
  <c r="X482" i="5"/>
  <c r="X481" i="5"/>
  <c r="X480" i="5"/>
  <c r="X479" i="5"/>
  <c r="X478" i="5"/>
  <c r="X477" i="5"/>
  <c r="X476" i="5"/>
  <c r="X475" i="5"/>
  <c r="X474" i="5"/>
  <c r="X473" i="5"/>
  <c r="X472" i="5"/>
  <c r="X471" i="5"/>
  <c r="X470" i="5"/>
  <c r="X469" i="5"/>
  <c r="X468" i="5"/>
  <c r="X467" i="5"/>
  <c r="X466" i="5"/>
  <c r="X465" i="5"/>
  <c r="X464" i="5"/>
  <c r="X463" i="5"/>
  <c r="X462" i="5"/>
  <c r="X461" i="5"/>
  <c r="X460" i="5"/>
  <c r="X459" i="5"/>
  <c r="X458" i="5"/>
  <c r="X457" i="5"/>
  <c r="X456" i="5"/>
  <c r="X455" i="5"/>
  <c r="X454" i="5"/>
  <c r="X453" i="5"/>
  <c r="X452" i="5"/>
  <c r="X451" i="5"/>
  <c r="X450" i="5"/>
  <c r="X449" i="5"/>
  <c r="X448" i="5"/>
  <c r="X447" i="5"/>
  <c r="X446" i="5"/>
  <c r="X445" i="5"/>
  <c r="X444" i="5"/>
  <c r="X443" i="5"/>
  <c r="X442" i="5"/>
  <c r="X441" i="5"/>
  <c r="X440" i="5"/>
  <c r="X439" i="5"/>
  <c r="X438" i="5"/>
  <c r="X437" i="5"/>
  <c r="X436" i="5"/>
  <c r="X435" i="5"/>
  <c r="X434" i="5"/>
  <c r="X433" i="5"/>
  <c r="X432" i="5"/>
  <c r="X431" i="5"/>
  <c r="X430" i="5"/>
  <c r="X429" i="5"/>
  <c r="X428" i="5"/>
  <c r="X427" i="5"/>
  <c r="X426" i="5"/>
  <c r="X425" i="5"/>
  <c r="X424" i="5"/>
  <c r="X423" i="5"/>
  <c r="X422" i="5"/>
  <c r="X421" i="5"/>
  <c r="X420" i="5"/>
  <c r="X419" i="5"/>
  <c r="X418" i="5"/>
  <c r="X417" i="5"/>
  <c r="X416" i="5"/>
  <c r="X415" i="5"/>
  <c r="X414" i="5"/>
  <c r="X413" i="5"/>
  <c r="X412" i="5"/>
  <c r="X411" i="5"/>
  <c r="X410" i="5"/>
  <c r="X409" i="5"/>
  <c r="X408" i="5"/>
  <c r="X407" i="5"/>
  <c r="X406" i="5"/>
  <c r="X405" i="5"/>
  <c r="X404" i="5"/>
  <c r="X403" i="5"/>
  <c r="X402" i="5"/>
  <c r="X401" i="5"/>
  <c r="X400" i="5"/>
  <c r="X399" i="5"/>
  <c r="X398" i="5"/>
  <c r="X397" i="5"/>
  <c r="X396" i="5"/>
  <c r="X395" i="5"/>
  <c r="X394" i="5"/>
  <c r="X393" i="5"/>
  <c r="X392" i="5"/>
  <c r="X391" i="5"/>
  <c r="X390" i="5"/>
  <c r="X389" i="5"/>
  <c r="X388" i="5"/>
  <c r="X387" i="5"/>
  <c r="X386" i="5"/>
  <c r="X385" i="5"/>
  <c r="X384" i="5"/>
  <c r="X383" i="5"/>
  <c r="X382" i="5"/>
  <c r="X381" i="5"/>
  <c r="X380" i="5"/>
  <c r="X379" i="5"/>
  <c r="X378" i="5"/>
  <c r="X377" i="5"/>
  <c r="X376" i="5"/>
  <c r="X375" i="5"/>
  <c r="X374" i="5"/>
  <c r="X373" i="5"/>
  <c r="X372" i="5"/>
  <c r="X371" i="5"/>
  <c r="X370" i="5"/>
  <c r="X369" i="5"/>
  <c r="X368" i="5"/>
  <c r="X367" i="5"/>
  <c r="X366" i="5"/>
  <c r="X365" i="5"/>
  <c r="X364" i="5"/>
  <c r="X363" i="5"/>
  <c r="X362" i="5"/>
  <c r="X361" i="5"/>
  <c r="X360" i="5"/>
  <c r="X359" i="5"/>
  <c r="X358" i="5"/>
  <c r="X357" i="5"/>
  <c r="X356" i="5"/>
  <c r="X355" i="5"/>
  <c r="X354" i="5"/>
  <c r="X353" i="5"/>
  <c r="X352" i="5"/>
  <c r="X351" i="5"/>
  <c r="X350" i="5"/>
  <c r="X349" i="5"/>
  <c r="X348" i="5"/>
  <c r="X347" i="5"/>
  <c r="X346" i="5"/>
  <c r="X345" i="5"/>
  <c r="X344" i="5"/>
  <c r="X343" i="5"/>
  <c r="X342" i="5"/>
  <c r="X341" i="5"/>
  <c r="X340" i="5"/>
  <c r="X339" i="5"/>
  <c r="X338" i="5"/>
  <c r="X337" i="5"/>
  <c r="X336" i="5"/>
  <c r="X335" i="5"/>
  <c r="X334" i="5"/>
  <c r="X333" i="5"/>
  <c r="X332" i="5"/>
  <c r="X331" i="5"/>
  <c r="X330" i="5"/>
  <c r="X329" i="5"/>
  <c r="X328" i="5"/>
  <c r="X327" i="5"/>
  <c r="X326" i="5"/>
  <c r="X325" i="5"/>
  <c r="X324" i="5"/>
  <c r="X323" i="5"/>
  <c r="X322" i="5"/>
  <c r="X321" i="5"/>
  <c r="X320" i="5"/>
  <c r="X319" i="5"/>
  <c r="X318" i="5"/>
  <c r="X317" i="5"/>
  <c r="X316" i="5"/>
  <c r="X315" i="5"/>
  <c r="X314" i="5"/>
  <c r="X313" i="5"/>
  <c r="X312" i="5"/>
  <c r="X311" i="5"/>
  <c r="X310" i="5"/>
  <c r="X309" i="5"/>
  <c r="X308" i="5"/>
  <c r="X307" i="5"/>
  <c r="X306" i="5"/>
  <c r="X305" i="5"/>
  <c r="X304" i="5"/>
  <c r="X303" i="5"/>
  <c r="X302" i="5"/>
  <c r="X301" i="5"/>
  <c r="X300" i="5"/>
  <c r="X299" i="5"/>
  <c r="X298" i="5"/>
  <c r="X297" i="5"/>
  <c r="X296" i="5"/>
  <c r="X295" i="5"/>
  <c r="X294" i="5"/>
  <c r="X293" i="5"/>
  <c r="X292" i="5"/>
  <c r="X291" i="5"/>
  <c r="X290" i="5"/>
  <c r="X289" i="5"/>
  <c r="X288" i="5"/>
  <c r="X287" i="5"/>
  <c r="X286" i="5"/>
  <c r="X285" i="5"/>
  <c r="X284" i="5"/>
  <c r="X283" i="5"/>
  <c r="X282" i="5"/>
  <c r="X281" i="5"/>
  <c r="X280" i="5"/>
  <c r="X279" i="5"/>
  <c r="X278" i="5"/>
  <c r="X277" i="5"/>
  <c r="X276" i="5"/>
  <c r="X275" i="5"/>
  <c r="X274" i="5"/>
  <c r="X273" i="5"/>
  <c r="X272" i="5"/>
  <c r="X271" i="5"/>
  <c r="X270" i="5"/>
  <c r="X269" i="5"/>
  <c r="X268" i="5"/>
  <c r="X267" i="5"/>
  <c r="X266" i="5"/>
  <c r="X265" i="5"/>
  <c r="X264" i="5"/>
  <c r="X263" i="5"/>
  <c r="X262" i="5"/>
  <c r="X261" i="5"/>
  <c r="X260" i="5"/>
  <c r="X259" i="5"/>
  <c r="X258" i="5"/>
  <c r="X257" i="5"/>
  <c r="X256" i="5"/>
  <c r="X255" i="5"/>
  <c r="X254" i="5"/>
  <c r="X253" i="5"/>
  <c r="X252" i="5"/>
  <c r="X251" i="5"/>
  <c r="X250" i="5"/>
  <c r="X249" i="5"/>
  <c r="X248" i="5"/>
  <c r="X247" i="5"/>
  <c r="X246" i="5"/>
  <c r="X245" i="5"/>
  <c r="X244" i="5"/>
  <c r="X243" i="5"/>
  <c r="X242" i="5"/>
  <c r="X241" i="5"/>
  <c r="X240" i="5"/>
  <c r="X239" i="5"/>
  <c r="X238" i="5"/>
  <c r="X237" i="5"/>
  <c r="X236" i="5"/>
  <c r="X235" i="5"/>
  <c r="X234" i="5"/>
  <c r="X233" i="5"/>
  <c r="X232" i="5"/>
  <c r="X231" i="5"/>
  <c r="X230" i="5"/>
  <c r="X229" i="5"/>
  <c r="X228" i="5"/>
  <c r="X227" i="5"/>
  <c r="X226" i="5"/>
  <c r="X225" i="5"/>
  <c r="X224" i="5"/>
  <c r="X223" i="5"/>
  <c r="X222" i="5"/>
  <c r="X221" i="5"/>
  <c r="X220" i="5"/>
  <c r="X219" i="5"/>
  <c r="X218" i="5"/>
  <c r="X217" i="5"/>
  <c r="X216" i="5"/>
  <c r="X215" i="5"/>
  <c r="X214" i="5"/>
  <c r="X213" i="5"/>
  <c r="X212" i="5"/>
  <c r="X211" i="5"/>
  <c r="X210" i="5"/>
  <c r="X209" i="5"/>
  <c r="X208" i="5"/>
  <c r="X207" i="5"/>
  <c r="X206" i="5"/>
  <c r="X205" i="5"/>
  <c r="X204" i="5"/>
  <c r="X203" i="5"/>
  <c r="X202" i="5"/>
  <c r="X201" i="5"/>
  <c r="X200" i="5"/>
  <c r="X199" i="5"/>
  <c r="X198" i="5"/>
  <c r="X197" i="5"/>
  <c r="X196" i="5"/>
  <c r="X195" i="5"/>
  <c r="X194" i="5"/>
  <c r="X193" i="5"/>
  <c r="X192" i="5"/>
  <c r="X191" i="5"/>
  <c r="X190" i="5"/>
  <c r="X189" i="5"/>
  <c r="X188" i="5"/>
  <c r="X187" i="5"/>
  <c r="X186" i="5"/>
  <c r="X185" i="5"/>
  <c r="X184" i="5"/>
  <c r="X183" i="5"/>
  <c r="X182" i="5"/>
  <c r="X181" i="5"/>
  <c r="X180" i="5"/>
  <c r="X179" i="5"/>
  <c r="X178" i="5"/>
  <c r="X177" i="5"/>
  <c r="X176" i="5"/>
  <c r="X175" i="5"/>
  <c r="X174" i="5"/>
  <c r="X173" i="5"/>
  <c r="X172" i="5"/>
  <c r="X171" i="5"/>
  <c r="X170" i="5"/>
  <c r="X169" i="5"/>
  <c r="X168" i="5"/>
  <c r="X167" i="5"/>
  <c r="X166" i="5"/>
  <c r="X165" i="5"/>
  <c r="X164" i="5"/>
  <c r="X163" i="5"/>
  <c r="X162" i="5"/>
  <c r="X161" i="5"/>
  <c r="X160" i="5"/>
  <c r="X159" i="5"/>
  <c r="X158" i="5"/>
  <c r="X157" i="5"/>
  <c r="X156" i="5"/>
  <c r="X155" i="5"/>
  <c r="X154" i="5"/>
  <c r="X153" i="5"/>
  <c r="X152" i="5"/>
  <c r="X151" i="5"/>
  <c r="X150" i="5"/>
  <c r="X149" i="5"/>
  <c r="X148" i="5"/>
  <c r="X147" i="5"/>
  <c r="X146" i="5"/>
  <c r="X145" i="5"/>
  <c r="X144" i="5"/>
  <c r="X143" i="5"/>
  <c r="X142" i="5"/>
  <c r="X141" i="5"/>
  <c r="X140" i="5"/>
  <c r="X139" i="5"/>
  <c r="X138" i="5"/>
  <c r="X137" i="5"/>
  <c r="X136" i="5"/>
  <c r="X135" i="5"/>
  <c r="X134" i="5"/>
  <c r="X133" i="5"/>
  <c r="X132" i="5"/>
  <c r="X131" i="5"/>
  <c r="X130" i="5"/>
  <c r="X129" i="5"/>
  <c r="X128" i="5"/>
  <c r="X127" i="5"/>
  <c r="X126" i="5"/>
  <c r="X125" i="5"/>
  <c r="X124" i="5"/>
  <c r="X123" i="5"/>
  <c r="X122" i="5"/>
  <c r="X121" i="5"/>
  <c r="X120" i="5"/>
  <c r="X119" i="5"/>
  <c r="X118" i="5"/>
  <c r="X117" i="5"/>
  <c r="X116" i="5"/>
  <c r="X115" i="5"/>
  <c r="X114" i="5"/>
  <c r="X113" i="5"/>
  <c r="X112" i="5"/>
  <c r="X111" i="5"/>
  <c r="X110" i="5"/>
  <c r="X109" i="5"/>
  <c r="X108" i="5"/>
  <c r="X107" i="5"/>
  <c r="X106" i="5"/>
  <c r="X105" i="5"/>
  <c r="X104" i="5"/>
  <c r="X103" i="5"/>
  <c r="X102" i="5"/>
  <c r="X101" i="5"/>
  <c r="X100" i="5"/>
  <c r="X99" i="5"/>
  <c r="X98" i="5"/>
  <c r="X97" i="5"/>
  <c r="X96" i="5"/>
  <c r="X95" i="5"/>
  <c r="X94" i="5"/>
  <c r="X93" i="5"/>
  <c r="X92" i="5"/>
  <c r="X91" i="5"/>
  <c r="X90" i="5"/>
  <c r="X89" i="5"/>
  <c r="X88" i="5"/>
  <c r="X87" i="5"/>
  <c r="X86" i="5"/>
  <c r="X85" i="5"/>
  <c r="X84" i="5"/>
  <c r="X83" i="5"/>
  <c r="X82" i="5"/>
  <c r="X81" i="5"/>
  <c r="X80" i="5"/>
  <c r="X79" i="5"/>
  <c r="X78" i="5"/>
  <c r="X77" i="5"/>
  <c r="X76" i="5"/>
  <c r="X75" i="5"/>
  <c r="X74" i="5"/>
  <c r="X73" i="5"/>
  <c r="X72" i="5"/>
  <c r="X71" i="5"/>
  <c r="X70" i="5"/>
  <c r="X69" i="5"/>
  <c r="X68" i="5"/>
  <c r="X67" i="5"/>
  <c r="X66" i="5"/>
  <c r="X65" i="5"/>
  <c r="X64" i="5"/>
  <c r="X63" i="5"/>
  <c r="X62" i="5"/>
  <c r="X61" i="5"/>
  <c r="X60" i="5"/>
  <c r="X59" i="5"/>
  <c r="X58" i="5"/>
  <c r="X57" i="5"/>
  <c r="X56" i="5"/>
  <c r="X55" i="5"/>
  <c r="X54" i="5"/>
  <c r="X53" i="5"/>
  <c r="X52" i="5"/>
  <c r="X51" i="5"/>
  <c r="X50" i="5"/>
  <c r="X49" i="5"/>
  <c r="X48" i="5"/>
  <c r="X47" i="5"/>
  <c r="X46" i="5"/>
  <c r="X45" i="5"/>
  <c r="X44" i="5"/>
  <c r="X43" i="5"/>
  <c r="X42" i="5"/>
  <c r="X41" i="5"/>
  <c r="X40" i="5"/>
  <c r="X39" i="5"/>
  <c r="X38" i="5"/>
  <c r="X37" i="5"/>
  <c r="X36" i="5"/>
  <c r="X35" i="5"/>
  <c r="X34" i="5"/>
  <c r="X33" i="5"/>
  <c r="X32" i="5"/>
  <c r="X31" i="5"/>
  <c r="X30" i="5"/>
  <c r="X29" i="5"/>
  <c r="X28" i="5"/>
  <c r="X27" i="5"/>
  <c r="X26" i="5"/>
  <c r="X25" i="5"/>
  <c r="X24" i="5"/>
  <c r="X23" i="5"/>
  <c r="X22" i="5"/>
  <c r="X21" i="5"/>
  <c r="X20" i="5"/>
  <c r="X19" i="5"/>
  <c r="X18" i="5"/>
  <c r="X17" i="5"/>
  <c r="X16" i="5"/>
  <c r="X15" i="5"/>
  <c r="X14" i="5"/>
  <c r="X13" i="5"/>
  <c r="X12" i="5"/>
  <c r="X11" i="5"/>
  <c r="X10" i="5"/>
  <c r="X9" i="5"/>
  <c r="X8" i="5"/>
  <c r="X7" i="5"/>
  <c r="X6" i="5"/>
  <c r="X5" i="5"/>
  <c r="X4" i="5"/>
  <c r="R4" i="5"/>
  <c r="S4" i="5"/>
  <c r="T4" i="5"/>
  <c r="R5" i="5"/>
  <c r="S5" i="5"/>
  <c r="T5" i="5"/>
  <c r="U4" i="5"/>
  <c r="V4" i="5"/>
  <c r="W4" i="5"/>
  <c r="U5" i="5"/>
  <c r="V5" i="5"/>
  <c r="W5" i="5"/>
  <c r="U6" i="5"/>
  <c r="V6" i="5"/>
  <c r="W6" i="5"/>
  <c r="U7" i="5"/>
  <c r="V7" i="5"/>
  <c r="W7" i="5"/>
  <c r="U8" i="5"/>
  <c r="V8" i="5"/>
  <c r="W8" i="5"/>
  <c r="U9" i="5"/>
  <c r="V9" i="5"/>
  <c r="W9" i="5"/>
  <c r="U10" i="5"/>
  <c r="V10" i="5"/>
  <c r="W10" i="5"/>
  <c r="U11" i="5"/>
  <c r="V11" i="5"/>
  <c r="W11" i="5"/>
  <c r="U12" i="5"/>
  <c r="V12" i="5"/>
  <c r="W12" i="5"/>
  <c r="U13" i="5"/>
  <c r="V13" i="5"/>
  <c r="W13" i="5"/>
  <c r="U14" i="5"/>
  <c r="V14" i="5"/>
  <c r="W14" i="5"/>
  <c r="U15" i="5"/>
  <c r="V15" i="5"/>
  <c r="W15" i="5"/>
  <c r="U16" i="5"/>
  <c r="V16" i="5"/>
  <c r="W16" i="5"/>
  <c r="U17" i="5"/>
  <c r="V17" i="5"/>
  <c r="W17" i="5"/>
  <c r="U18" i="5"/>
  <c r="V18" i="5"/>
  <c r="W18" i="5"/>
  <c r="U19" i="5"/>
  <c r="V19" i="5"/>
  <c r="W19" i="5"/>
  <c r="U20" i="5"/>
  <c r="V20" i="5"/>
  <c r="W20" i="5"/>
  <c r="U21" i="5"/>
  <c r="V21" i="5"/>
  <c r="W21" i="5"/>
  <c r="U22" i="5"/>
  <c r="V22" i="5"/>
  <c r="W22" i="5"/>
  <c r="U23" i="5"/>
  <c r="V23" i="5"/>
  <c r="W23" i="5"/>
  <c r="U24" i="5"/>
  <c r="V24" i="5"/>
  <c r="W24" i="5"/>
  <c r="U25" i="5"/>
  <c r="V25" i="5"/>
  <c r="W25" i="5"/>
  <c r="U26" i="5"/>
  <c r="V26" i="5"/>
  <c r="W26" i="5"/>
  <c r="U27" i="5"/>
  <c r="V27" i="5"/>
  <c r="W27" i="5"/>
  <c r="U28" i="5"/>
  <c r="V28" i="5"/>
  <c r="W28" i="5"/>
  <c r="U29" i="5"/>
  <c r="V29" i="5"/>
  <c r="W29" i="5"/>
  <c r="U30" i="5"/>
  <c r="V30" i="5"/>
  <c r="W30" i="5"/>
  <c r="U31" i="5"/>
  <c r="V31" i="5"/>
  <c r="W31" i="5"/>
  <c r="U32" i="5"/>
  <c r="V32" i="5"/>
  <c r="W32" i="5"/>
  <c r="U33" i="5"/>
  <c r="V33" i="5"/>
  <c r="W33" i="5"/>
  <c r="U34" i="5"/>
  <c r="V34" i="5"/>
  <c r="W34" i="5"/>
  <c r="U35" i="5"/>
  <c r="V35" i="5"/>
  <c r="W35" i="5"/>
  <c r="U36" i="5"/>
  <c r="V36" i="5"/>
  <c r="W36" i="5"/>
  <c r="U37" i="5"/>
  <c r="V37" i="5"/>
  <c r="W37" i="5"/>
  <c r="U38" i="5"/>
  <c r="V38" i="5"/>
  <c r="W38" i="5"/>
  <c r="U39" i="5"/>
  <c r="V39" i="5"/>
  <c r="W39" i="5"/>
  <c r="U40" i="5"/>
  <c r="V40" i="5"/>
  <c r="W40" i="5"/>
  <c r="U41" i="5"/>
  <c r="V41" i="5"/>
  <c r="W41" i="5"/>
  <c r="U42" i="5"/>
  <c r="V42" i="5"/>
  <c r="W42" i="5"/>
  <c r="U43" i="5"/>
  <c r="V43" i="5"/>
  <c r="W43" i="5"/>
  <c r="U44" i="5"/>
  <c r="V44" i="5"/>
  <c r="W44" i="5"/>
  <c r="U45" i="5"/>
  <c r="V45" i="5"/>
  <c r="W45" i="5"/>
  <c r="U46" i="5"/>
  <c r="V46" i="5"/>
  <c r="W46" i="5"/>
  <c r="U47" i="5"/>
  <c r="V47" i="5"/>
  <c r="W47" i="5"/>
  <c r="U48" i="5"/>
  <c r="V48" i="5"/>
  <c r="W48" i="5"/>
  <c r="U49" i="5"/>
  <c r="V49" i="5"/>
  <c r="W49" i="5"/>
  <c r="U50" i="5"/>
  <c r="V50" i="5"/>
  <c r="W50" i="5"/>
  <c r="U51" i="5"/>
  <c r="V51" i="5"/>
  <c r="W51" i="5"/>
  <c r="U52" i="5"/>
  <c r="V52" i="5"/>
  <c r="W52" i="5"/>
  <c r="U53" i="5"/>
  <c r="V53" i="5"/>
  <c r="W53" i="5"/>
  <c r="U54" i="5"/>
  <c r="V54" i="5"/>
  <c r="W54" i="5"/>
  <c r="U55" i="5"/>
  <c r="V55" i="5"/>
  <c r="W55" i="5"/>
  <c r="U56" i="5"/>
  <c r="V56" i="5"/>
  <c r="W56" i="5"/>
  <c r="U57" i="5"/>
  <c r="V57" i="5"/>
  <c r="W57" i="5"/>
  <c r="U58" i="5"/>
  <c r="V58" i="5"/>
  <c r="W58" i="5"/>
  <c r="U59" i="5"/>
  <c r="V59" i="5"/>
  <c r="W59" i="5"/>
  <c r="U60" i="5"/>
  <c r="V60" i="5"/>
  <c r="W60" i="5"/>
  <c r="U61" i="5"/>
  <c r="V61" i="5"/>
  <c r="W61" i="5"/>
  <c r="U62" i="5"/>
  <c r="V62" i="5"/>
  <c r="W62" i="5"/>
  <c r="U63" i="5"/>
  <c r="V63" i="5"/>
  <c r="W63" i="5"/>
  <c r="U64" i="5"/>
  <c r="V64" i="5"/>
  <c r="W64" i="5"/>
  <c r="U65" i="5"/>
  <c r="V65" i="5"/>
  <c r="W65" i="5"/>
  <c r="U66" i="5"/>
  <c r="V66" i="5"/>
  <c r="W66" i="5"/>
  <c r="U67" i="5"/>
  <c r="V67" i="5"/>
  <c r="W67" i="5"/>
  <c r="U68" i="5"/>
  <c r="V68" i="5"/>
  <c r="W68" i="5"/>
  <c r="U69" i="5"/>
  <c r="V69" i="5"/>
  <c r="W69" i="5"/>
  <c r="U70" i="5"/>
  <c r="V70" i="5"/>
  <c r="W70" i="5"/>
  <c r="U71" i="5"/>
  <c r="V71" i="5"/>
  <c r="W71" i="5"/>
  <c r="U72" i="5"/>
  <c r="V72" i="5"/>
  <c r="W72" i="5"/>
  <c r="U73" i="5"/>
  <c r="V73" i="5"/>
  <c r="W73" i="5"/>
  <c r="U74" i="5"/>
  <c r="V74" i="5"/>
  <c r="W74" i="5"/>
  <c r="U75" i="5"/>
  <c r="V75" i="5"/>
  <c r="W75" i="5"/>
  <c r="U76" i="5"/>
  <c r="V76" i="5"/>
  <c r="W76" i="5"/>
  <c r="U77" i="5"/>
  <c r="V77" i="5"/>
  <c r="W77" i="5"/>
  <c r="U78" i="5"/>
  <c r="V78" i="5"/>
  <c r="W78" i="5"/>
  <c r="U79" i="5"/>
  <c r="V79" i="5"/>
  <c r="W79" i="5"/>
  <c r="U80" i="5"/>
  <c r="V80" i="5"/>
  <c r="W80" i="5"/>
  <c r="U81" i="5"/>
  <c r="V81" i="5"/>
  <c r="W81" i="5"/>
  <c r="U82" i="5"/>
  <c r="V82" i="5"/>
  <c r="W82" i="5"/>
  <c r="U83" i="5"/>
  <c r="V83" i="5"/>
  <c r="W83" i="5"/>
  <c r="U84" i="5"/>
  <c r="V84" i="5"/>
  <c r="W84" i="5"/>
  <c r="U85" i="5"/>
  <c r="V85" i="5"/>
  <c r="W85" i="5"/>
  <c r="U86" i="5"/>
  <c r="V86" i="5"/>
  <c r="W86" i="5"/>
  <c r="U87" i="5"/>
  <c r="V87" i="5"/>
  <c r="W87" i="5"/>
  <c r="U88" i="5"/>
  <c r="V88" i="5"/>
  <c r="W88" i="5"/>
  <c r="U89" i="5"/>
  <c r="V89" i="5"/>
  <c r="W89" i="5"/>
  <c r="U90" i="5"/>
  <c r="V90" i="5"/>
  <c r="W90" i="5"/>
  <c r="U91" i="5"/>
  <c r="V91" i="5"/>
  <c r="W91" i="5"/>
  <c r="U92" i="5"/>
  <c r="V92" i="5"/>
  <c r="W92" i="5"/>
  <c r="U93" i="5"/>
  <c r="V93" i="5"/>
  <c r="W93" i="5"/>
  <c r="U94" i="5"/>
  <c r="V94" i="5"/>
  <c r="W94" i="5"/>
  <c r="U95" i="5"/>
  <c r="V95" i="5"/>
  <c r="W95" i="5"/>
  <c r="U96" i="5"/>
  <c r="V96" i="5"/>
  <c r="W96" i="5"/>
  <c r="R6" i="5"/>
  <c r="S6" i="5"/>
  <c r="T6" i="5"/>
  <c r="R7" i="5"/>
  <c r="S7" i="5"/>
  <c r="T7" i="5"/>
  <c r="R8" i="5"/>
  <c r="S8" i="5"/>
  <c r="T8" i="5"/>
  <c r="R9" i="5"/>
  <c r="S9" i="5"/>
  <c r="T9" i="5"/>
  <c r="R10" i="5"/>
  <c r="S10" i="5"/>
  <c r="T10" i="5"/>
  <c r="R11" i="5"/>
  <c r="S11" i="5"/>
  <c r="T11" i="5"/>
  <c r="R12" i="5"/>
  <c r="S12" i="5"/>
  <c r="T12" i="5"/>
  <c r="R13" i="5"/>
  <c r="S13" i="5"/>
  <c r="T13" i="5"/>
  <c r="R14" i="5"/>
  <c r="S14" i="5"/>
  <c r="T14" i="5"/>
  <c r="R15" i="5"/>
  <c r="S15" i="5"/>
  <c r="T15" i="5"/>
  <c r="R16" i="5"/>
  <c r="S16" i="5"/>
  <c r="T16" i="5"/>
  <c r="R17" i="5"/>
  <c r="S17" i="5"/>
  <c r="T17" i="5"/>
  <c r="R18" i="5"/>
  <c r="S18" i="5"/>
  <c r="T18" i="5"/>
  <c r="R19" i="5"/>
  <c r="S19" i="5"/>
  <c r="T19" i="5"/>
  <c r="R20" i="5"/>
  <c r="S20" i="5"/>
  <c r="T20" i="5"/>
  <c r="R21" i="5"/>
  <c r="S21" i="5"/>
  <c r="T21" i="5"/>
  <c r="R22" i="5"/>
  <c r="S22" i="5"/>
  <c r="T22" i="5"/>
  <c r="R23" i="5"/>
  <c r="S23" i="5"/>
  <c r="T23" i="5"/>
  <c r="R24" i="5"/>
  <c r="S24" i="5"/>
  <c r="T24" i="5"/>
  <c r="R25" i="5"/>
  <c r="S25" i="5"/>
  <c r="T25" i="5"/>
  <c r="R26" i="5"/>
  <c r="S26" i="5"/>
  <c r="T26" i="5"/>
  <c r="R27" i="5"/>
  <c r="S27" i="5"/>
  <c r="T27" i="5"/>
  <c r="R28" i="5"/>
  <c r="S28" i="5"/>
  <c r="T28" i="5"/>
  <c r="R29" i="5"/>
  <c r="S29" i="5"/>
  <c r="T29" i="5"/>
  <c r="R30" i="5"/>
  <c r="S30" i="5"/>
  <c r="T30" i="5"/>
  <c r="R31" i="5"/>
  <c r="S31" i="5"/>
  <c r="T31" i="5"/>
  <c r="R32" i="5"/>
  <c r="S32" i="5"/>
  <c r="T32" i="5"/>
  <c r="R33" i="5"/>
  <c r="S33" i="5"/>
  <c r="T33" i="5"/>
  <c r="R34" i="5"/>
  <c r="S34" i="5"/>
  <c r="T34" i="5"/>
  <c r="R35" i="5"/>
  <c r="S35" i="5"/>
  <c r="T35" i="5"/>
  <c r="R36" i="5"/>
  <c r="S36" i="5"/>
  <c r="T36" i="5"/>
  <c r="R37" i="5"/>
  <c r="S37" i="5"/>
  <c r="T37" i="5"/>
  <c r="R38" i="5"/>
  <c r="S38" i="5"/>
  <c r="T38" i="5"/>
  <c r="R39" i="5"/>
  <c r="S39" i="5"/>
  <c r="T39" i="5"/>
  <c r="R40" i="5"/>
  <c r="S40" i="5"/>
  <c r="T40" i="5"/>
  <c r="R41" i="5"/>
  <c r="S41" i="5"/>
  <c r="T41" i="5"/>
  <c r="R42" i="5"/>
  <c r="S42" i="5"/>
  <c r="T42" i="5"/>
  <c r="R43" i="5"/>
  <c r="S43" i="5"/>
  <c r="T43" i="5"/>
  <c r="R44" i="5"/>
  <c r="S44" i="5"/>
  <c r="T44" i="5"/>
  <c r="R45" i="5"/>
  <c r="S45" i="5"/>
  <c r="T45" i="5"/>
  <c r="R46" i="5"/>
  <c r="S46" i="5"/>
  <c r="T46" i="5"/>
  <c r="R47" i="5"/>
  <c r="S47" i="5"/>
  <c r="T47" i="5"/>
  <c r="R48" i="5"/>
  <c r="S48" i="5"/>
  <c r="T48" i="5"/>
  <c r="R49" i="5"/>
  <c r="S49" i="5"/>
  <c r="T49" i="5"/>
  <c r="R50" i="5"/>
  <c r="S50" i="5"/>
  <c r="T50" i="5"/>
  <c r="R51" i="5"/>
  <c r="S51" i="5"/>
  <c r="T51" i="5"/>
  <c r="R52" i="5"/>
  <c r="S52" i="5"/>
  <c r="T52" i="5"/>
  <c r="R53" i="5"/>
  <c r="S53" i="5"/>
  <c r="T53" i="5"/>
  <c r="R54" i="5"/>
  <c r="S54" i="5"/>
  <c r="T54" i="5"/>
  <c r="R55" i="5"/>
  <c r="S55" i="5"/>
  <c r="T55" i="5"/>
  <c r="R56" i="5"/>
  <c r="S56" i="5"/>
  <c r="T56" i="5"/>
  <c r="R57" i="5"/>
  <c r="S57" i="5"/>
  <c r="T57" i="5"/>
  <c r="R58" i="5"/>
  <c r="S58" i="5"/>
  <c r="T58" i="5"/>
  <c r="R59" i="5"/>
  <c r="S59" i="5"/>
  <c r="T59" i="5"/>
  <c r="R60" i="5"/>
  <c r="S60" i="5"/>
  <c r="T60" i="5"/>
  <c r="R61" i="5"/>
  <c r="S61" i="5"/>
  <c r="T61" i="5"/>
  <c r="R62" i="5"/>
  <c r="S62" i="5"/>
  <c r="T62" i="5"/>
  <c r="R63" i="5"/>
  <c r="S63" i="5"/>
  <c r="T63" i="5"/>
  <c r="R64" i="5"/>
  <c r="S64" i="5"/>
  <c r="T64" i="5"/>
  <c r="R65" i="5"/>
  <c r="S65" i="5"/>
  <c r="T65" i="5"/>
  <c r="R66" i="5"/>
  <c r="S66" i="5"/>
  <c r="T66" i="5"/>
  <c r="R67" i="5"/>
  <c r="S67" i="5"/>
  <c r="T67" i="5"/>
  <c r="R68" i="5"/>
  <c r="S68" i="5"/>
  <c r="T68" i="5"/>
  <c r="R69" i="5"/>
  <c r="S69" i="5"/>
  <c r="T69" i="5"/>
  <c r="R70" i="5"/>
  <c r="S70" i="5"/>
  <c r="T70" i="5"/>
  <c r="R71" i="5"/>
  <c r="S71" i="5"/>
  <c r="T71" i="5"/>
  <c r="R72" i="5"/>
  <c r="S72" i="5"/>
  <c r="T72" i="5"/>
  <c r="R73" i="5"/>
  <c r="S73" i="5"/>
  <c r="T73" i="5"/>
  <c r="R74" i="5"/>
  <c r="S74" i="5"/>
  <c r="T74" i="5"/>
  <c r="R75" i="5"/>
  <c r="S75" i="5"/>
  <c r="T75" i="5"/>
  <c r="R76" i="5"/>
  <c r="S76" i="5"/>
  <c r="T76" i="5"/>
  <c r="R77" i="5"/>
  <c r="S77" i="5"/>
  <c r="T77" i="5"/>
  <c r="R78" i="5"/>
  <c r="S78" i="5"/>
  <c r="T78" i="5"/>
  <c r="R79" i="5"/>
  <c r="S79" i="5"/>
  <c r="T79" i="5"/>
  <c r="R80" i="5"/>
  <c r="S80" i="5"/>
  <c r="T80" i="5"/>
  <c r="R81" i="5"/>
  <c r="S81" i="5"/>
  <c r="T81" i="5"/>
  <c r="R82" i="5"/>
  <c r="S82" i="5"/>
  <c r="T82" i="5"/>
  <c r="R83" i="5"/>
  <c r="S83" i="5"/>
  <c r="T83" i="5"/>
  <c r="R84" i="5"/>
  <c r="S84" i="5"/>
  <c r="T84" i="5"/>
  <c r="R85" i="5"/>
  <c r="S85" i="5"/>
  <c r="T85" i="5"/>
  <c r="R86" i="5"/>
  <c r="S86" i="5"/>
  <c r="T86" i="5"/>
  <c r="R87" i="5"/>
  <c r="S87" i="5"/>
  <c r="T87" i="5"/>
  <c r="R88" i="5"/>
  <c r="S88" i="5"/>
  <c r="T88" i="5"/>
  <c r="R89" i="5"/>
  <c r="S89" i="5"/>
  <c r="T89" i="5"/>
  <c r="R90" i="5"/>
  <c r="S90" i="5"/>
  <c r="T90" i="5"/>
  <c r="R91" i="5"/>
  <c r="S91" i="5"/>
  <c r="T91" i="5"/>
  <c r="R92" i="5"/>
  <c r="S92" i="5"/>
  <c r="T92" i="5"/>
  <c r="R93" i="5"/>
  <c r="S93" i="5"/>
  <c r="T93" i="5"/>
  <c r="AI4" i="5"/>
  <c r="AH5" i="5" s="1"/>
  <c r="AI5" i="5" s="1"/>
  <c r="AH6" i="5" s="1"/>
  <c r="AI6" i="5" s="1"/>
  <c r="AH7" i="5" s="1"/>
  <c r="AI7" i="5" s="1"/>
  <c r="AH8" i="5" s="1"/>
  <c r="AI8" i="5" s="1"/>
  <c r="AR5" i="5"/>
  <c r="AQ5" i="5"/>
  <c r="AP5" i="5"/>
  <c r="AQ8" i="5"/>
  <c r="AQ14" i="5"/>
  <c r="AR6" i="5"/>
  <c r="AR10" i="5"/>
  <c r="AR16" i="5"/>
  <c r="AP7" i="5"/>
  <c r="AP11" i="5"/>
  <c r="AP15" i="5"/>
  <c r="AP19" i="5"/>
  <c r="AQ7" i="5"/>
  <c r="AQ9" i="5"/>
  <c r="AQ11" i="5"/>
  <c r="AQ13" i="5"/>
  <c r="AQ15" i="5"/>
  <c r="AQ17" i="5"/>
  <c r="AQ19" i="5"/>
  <c r="AR7" i="5"/>
  <c r="AR9" i="5"/>
  <c r="AR11" i="5"/>
  <c r="AR13" i="5"/>
  <c r="AR15" i="5"/>
  <c r="AR17" i="5"/>
  <c r="AR19" i="5"/>
  <c r="AP6" i="5"/>
  <c r="AP8" i="5"/>
  <c r="AP10" i="5"/>
  <c r="AP12" i="5"/>
  <c r="AP14" i="5"/>
  <c r="AP16" i="5"/>
  <c r="AP18" i="5"/>
  <c r="AQ6" i="5"/>
  <c r="AQ10" i="5"/>
  <c r="AQ12" i="5"/>
  <c r="AQ16" i="5"/>
  <c r="AQ18" i="5"/>
  <c r="AR8" i="5"/>
  <c r="AR12" i="5"/>
  <c r="AR14" i="5"/>
  <c r="AR18" i="5"/>
  <c r="AP9" i="5"/>
  <c r="AP13" i="5"/>
  <c r="AP17" i="5"/>
  <c r="AO6" i="5"/>
  <c r="AO11" i="5"/>
  <c r="AO19" i="5"/>
  <c r="AN12" i="5"/>
  <c r="AN14" i="5"/>
  <c r="AL4" i="5"/>
  <c r="AL6" i="5"/>
  <c r="AK7" i="5"/>
  <c r="AK17" i="5"/>
  <c r="AJ4" i="5"/>
  <c r="AN5" i="5"/>
  <c r="AO7" i="5"/>
  <c r="AO17" i="5"/>
  <c r="AO8" i="5"/>
  <c r="AN18" i="5"/>
  <c r="AN10" i="5"/>
  <c r="AL7" i="5"/>
  <c r="AM6" i="5"/>
  <c r="AK9" i="5"/>
  <c r="AK19" i="5"/>
  <c r="AJ5" i="5"/>
  <c r="AO9" i="5"/>
  <c r="AN9" i="5"/>
  <c r="AK15" i="5"/>
  <c r="AO15" i="5"/>
  <c r="AO18" i="5"/>
  <c r="AN11" i="5"/>
  <c r="AN13" i="5"/>
  <c r="AN15" i="5"/>
  <c r="AM7" i="5"/>
  <c r="AK8" i="5"/>
  <c r="AK10" i="5"/>
  <c r="AK18" i="5"/>
  <c r="AJ7" i="5"/>
  <c r="AO5" i="5"/>
  <c r="AO13" i="5"/>
  <c r="AN8" i="5"/>
  <c r="AM5" i="5"/>
  <c r="AK11" i="5"/>
  <c r="AO12" i="5"/>
  <c r="AM4" i="5"/>
  <c r="AK12" i="5"/>
  <c r="AO4" i="5"/>
  <c r="AO10" i="5"/>
  <c r="AO14" i="5"/>
  <c r="AN17" i="5"/>
  <c r="AN19" i="5"/>
  <c r="AN16" i="5"/>
  <c r="AL5" i="5"/>
  <c r="AK5" i="5"/>
  <c r="AK16" i="5"/>
  <c r="AK13" i="5"/>
  <c r="AO16" i="5"/>
  <c r="AN6" i="5"/>
  <c r="AN4" i="5"/>
  <c r="AK6" i="5"/>
  <c r="AK14" i="5"/>
  <c r="AN7" i="5"/>
  <c r="AK4" i="5"/>
  <c r="AJ6" i="5"/>
  <c r="R95" i="5" l="1"/>
  <c r="S95" i="5"/>
  <c r="T95" i="5"/>
  <c r="R96" i="5"/>
  <c r="S96" i="5"/>
  <c r="T96" i="5"/>
  <c r="R97" i="5"/>
  <c r="S97" i="5"/>
  <c r="T97" i="5"/>
  <c r="U97" i="5"/>
  <c r="V97" i="5"/>
  <c r="W97" i="5"/>
  <c r="R98" i="5"/>
  <c r="S98" i="5"/>
  <c r="T98" i="5"/>
  <c r="U98" i="5"/>
  <c r="V98" i="5"/>
  <c r="W98" i="5"/>
  <c r="R99" i="5"/>
  <c r="S99" i="5"/>
  <c r="T99" i="5"/>
  <c r="U99" i="5"/>
  <c r="V99" i="5"/>
  <c r="W99" i="5"/>
  <c r="R100" i="5"/>
  <c r="S100" i="5"/>
  <c r="T100" i="5"/>
  <c r="U100" i="5"/>
  <c r="V100" i="5"/>
  <c r="W100" i="5"/>
  <c r="R101" i="5"/>
  <c r="S101" i="5"/>
  <c r="T101" i="5"/>
  <c r="U101" i="5"/>
  <c r="V101" i="5"/>
  <c r="W101" i="5"/>
  <c r="R102" i="5"/>
  <c r="S102" i="5"/>
  <c r="T102" i="5"/>
  <c r="U102" i="5"/>
  <c r="V102" i="5"/>
  <c r="W102" i="5"/>
  <c r="R103" i="5"/>
  <c r="S103" i="5"/>
  <c r="T103" i="5"/>
  <c r="U103" i="5"/>
  <c r="V103" i="5"/>
  <c r="W103" i="5"/>
  <c r="R104" i="5"/>
  <c r="S104" i="5"/>
  <c r="T104" i="5"/>
  <c r="U104" i="5"/>
  <c r="V104" i="5"/>
  <c r="W104" i="5"/>
  <c r="R105" i="5"/>
  <c r="S105" i="5"/>
  <c r="T105" i="5"/>
  <c r="U105" i="5"/>
  <c r="V105" i="5"/>
  <c r="W105" i="5"/>
  <c r="R106" i="5"/>
  <c r="S106" i="5"/>
  <c r="T106" i="5"/>
  <c r="U106" i="5"/>
  <c r="V106" i="5"/>
  <c r="W106" i="5"/>
  <c r="R107" i="5"/>
  <c r="S107" i="5"/>
  <c r="T107" i="5"/>
  <c r="U107" i="5"/>
  <c r="V107" i="5"/>
  <c r="W107" i="5"/>
  <c r="R108" i="5"/>
  <c r="S108" i="5"/>
  <c r="T108" i="5"/>
  <c r="U108" i="5"/>
  <c r="V108" i="5"/>
  <c r="W108" i="5"/>
  <c r="R109" i="5"/>
  <c r="S109" i="5"/>
  <c r="T109" i="5"/>
  <c r="U109" i="5"/>
  <c r="V109" i="5"/>
  <c r="W109" i="5"/>
  <c r="R110" i="5"/>
  <c r="S110" i="5"/>
  <c r="T110" i="5"/>
  <c r="U110" i="5"/>
  <c r="V110" i="5"/>
  <c r="W110" i="5"/>
  <c r="R111" i="5"/>
  <c r="S111" i="5"/>
  <c r="T111" i="5"/>
  <c r="U111" i="5"/>
  <c r="V111" i="5"/>
  <c r="W111" i="5"/>
  <c r="R112" i="5"/>
  <c r="S112" i="5"/>
  <c r="T112" i="5"/>
  <c r="U112" i="5"/>
  <c r="V112" i="5"/>
  <c r="W112" i="5"/>
  <c r="R113" i="5"/>
  <c r="S113" i="5"/>
  <c r="T113" i="5"/>
  <c r="U113" i="5"/>
  <c r="V113" i="5"/>
  <c r="W113" i="5"/>
  <c r="R114" i="5"/>
  <c r="S114" i="5"/>
  <c r="T114" i="5"/>
  <c r="U114" i="5"/>
  <c r="V114" i="5"/>
  <c r="W114" i="5"/>
  <c r="R115" i="5"/>
  <c r="S115" i="5"/>
  <c r="T115" i="5"/>
  <c r="U115" i="5"/>
  <c r="V115" i="5"/>
  <c r="W115" i="5"/>
  <c r="R116" i="5"/>
  <c r="S116" i="5"/>
  <c r="T116" i="5"/>
  <c r="U116" i="5"/>
  <c r="V116" i="5"/>
  <c r="W116" i="5"/>
  <c r="R117" i="5"/>
  <c r="S117" i="5"/>
  <c r="T117" i="5"/>
  <c r="U117" i="5"/>
  <c r="V117" i="5"/>
  <c r="W117" i="5"/>
  <c r="R118" i="5"/>
  <c r="S118" i="5"/>
  <c r="T118" i="5"/>
  <c r="U118" i="5"/>
  <c r="V118" i="5"/>
  <c r="W118" i="5"/>
  <c r="R119" i="5"/>
  <c r="S119" i="5"/>
  <c r="T119" i="5"/>
  <c r="U119" i="5"/>
  <c r="V119" i="5"/>
  <c r="W119" i="5"/>
  <c r="R120" i="5"/>
  <c r="S120" i="5"/>
  <c r="T120" i="5"/>
  <c r="U120" i="5"/>
  <c r="V120" i="5"/>
  <c r="W120" i="5"/>
  <c r="R121" i="5"/>
  <c r="S121" i="5"/>
  <c r="T121" i="5"/>
  <c r="U121" i="5"/>
  <c r="V121" i="5"/>
  <c r="W121" i="5"/>
  <c r="R122" i="5"/>
  <c r="S122" i="5"/>
  <c r="T122" i="5"/>
  <c r="U122" i="5"/>
  <c r="V122" i="5"/>
  <c r="W122" i="5"/>
  <c r="R123" i="5"/>
  <c r="S123" i="5"/>
  <c r="T123" i="5"/>
  <c r="U123" i="5"/>
  <c r="V123" i="5"/>
  <c r="W123" i="5"/>
  <c r="R124" i="5"/>
  <c r="S124" i="5"/>
  <c r="T124" i="5"/>
  <c r="U124" i="5"/>
  <c r="V124" i="5"/>
  <c r="W124" i="5"/>
  <c r="R125" i="5"/>
  <c r="S125" i="5"/>
  <c r="T125" i="5"/>
  <c r="U125" i="5"/>
  <c r="V125" i="5"/>
  <c r="W125" i="5"/>
  <c r="R126" i="5"/>
  <c r="S126" i="5"/>
  <c r="T126" i="5"/>
  <c r="U126" i="5"/>
  <c r="V126" i="5"/>
  <c r="W126" i="5"/>
  <c r="R127" i="5"/>
  <c r="S127" i="5"/>
  <c r="T127" i="5"/>
  <c r="U127" i="5"/>
  <c r="V127" i="5"/>
  <c r="W127" i="5"/>
  <c r="R128" i="5"/>
  <c r="S128" i="5"/>
  <c r="T128" i="5"/>
  <c r="U128" i="5"/>
  <c r="V128" i="5"/>
  <c r="W128" i="5"/>
  <c r="R129" i="5"/>
  <c r="S129" i="5"/>
  <c r="T129" i="5"/>
  <c r="U129" i="5"/>
  <c r="V129" i="5"/>
  <c r="W129" i="5"/>
  <c r="R130" i="5"/>
  <c r="S130" i="5"/>
  <c r="T130" i="5"/>
  <c r="U130" i="5"/>
  <c r="V130" i="5"/>
  <c r="W130" i="5"/>
  <c r="R131" i="5"/>
  <c r="S131" i="5"/>
  <c r="T131" i="5"/>
  <c r="U131" i="5"/>
  <c r="V131" i="5"/>
  <c r="W131" i="5"/>
  <c r="R132" i="5"/>
  <c r="S132" i="5"/>
  <c r="T132" i="5"/>
  <c r="U132" i="5"/>
  <c r="V132" i="5"/>
  <c r="W132" i="5"/>
  <c r="R133" i="5"/>
  <c r="S133" i="5"/>
  <c r="T133" i="5"/>
  <c r="U133" i="5"/>
  <c r="V133" i="5"/>
  <c r="W133" i="5"/>
  <c r="R134" i="5"/>
  <c r="S134" i="5"/>
  <c r="T134" i="5"/>
  <c r="U134" i="5"/>
  <c r="V134" i="5"/>
  <c r="W134" i="5"/>
  <c r="R135" i="5"/>
  <c r="S135" i="5"/>
  <c r="T135" i="5"/>
  <c r="U135" i="5"/>
  <c r="V135" i="5"/>
  <c r="W135" i="5"/>
  <c r="R136" i="5"/>
  <c r="S136" i="5"/>
  <c r="T136" i="5"/>
  <c r="U136" i="5"/>
  <c r="V136" i="5"/>
  <c r="W136" i="5"/>
  <c r="R137" i="5"/>
  <c r="S137" i="5"/>
  <c r="T137" i="5"/>
  <c r="U137" i="5"/>
  <c r="V137" i="5"/>
  <c r="W137" i="5"/>
  <c r="R138" i="5"/>
  <c r="S138" i="5"/>
  <c r="T138" i="5"/>
  <c r="U138" i="5"/>
  <c r="V138" i="5"/>
  <c r="W138" i="5"/>
  <c r="R139" i="5"/>
  <c r="S139" i="5"/>
  <c r="T139" i="5"/>
  <c r="U139" i="5"/>
  <c r="V139" i="5"/>
  <c r="W139" i="5"/>
  <c r="R140" i="5"/>
  <c r="S140" i="5"/>
  <c r="T140" i="5"/>
  <c r="U140" i="5"/>
  <c r="V140" i="5"/>
  <c r="W140" i="5"/>
  <c r="R141" i="5"/>
  <c r="S141" i="5"/>
  <c r="T141" i="5"/>
  <c r="U141" i="5"/>
  <c r="V141" i="5"/>
  <c r="W141" i="5"/>
  <c r="R142" i="5"/>
  <c r="S142" i="5"/>
  <c r="T142" i="5"/>
  <c r="U142" i="5"/>
  <c r="V142" i="5"/>
  <c r="W142" i="5"/>
  <c r="R143" i="5"/>
  <c r="S143" i="5"/>
  <c r="T143" i="5"/>
  <c r="U143" i="5"/>
  <c r="V143" i="5"/>
  <c r="W143" i="5"/>
  <c r="R144" i="5"/>
  <c r="S144" i="5"/>
  <c r="T144" i="5"/>
  <c r="U144" i="5"/>
  <c r="V144" i="5"/>
  <c r="W144" i="5"/>
  <c r="R145" i="5"/>
  <c r="S145" i="5"/>
  <c r="T145" i="5"/>
  <c r="U145" i="5"/>
  <c r="V145" i="5"/>
  <c r="W145" i="5"/>
  <c r="R146" i="5"/>
  <c r="S146" i="5"/>
  <c r="T146" i="5"/>
  <c r="U146" i="5"/>
  <c r="V146" i="5"/>
  <c r="W146" i="5"/>
  <c r="R147" i="5"/>
  <c r="S147" i="5"/>
  <c r="T147" i="5"/>
  <c r="U147" i="5"/>
  <c r="V147" i="5"/>
  <c r="W147" i="5"/>
  <c r="R148" i="5"/>
  <c r="S148" i="5"/>
  <c r="T148" i="5"/>
  <c r="U148" i="5"/>
  <c r="V148" i="5"/>
  <c r="W148" i="5"/>
  <c r="R149" i="5"/>
  <c r="S149" i="5"/>
  <c r="T149" i="5"/>
  <c r="U149" i="5"/>
  <c r="V149" i="5"/>
  <c r="W149" i="5"/>
  <c r="R150" i="5"/>
  <c r="S150" i="5"/>
  <c r="T150" i="5"/>
  <c r="U150" i="5"/>
  <c r="V150" i="5"/>
  <c r="W150" i="5"/>
  <c r="R151" i="5"/>
  <c r="S151" i="5"/>
  <c r="T151" i="5"/>
  <c r="U151" i="5"/>
  <c r="V151" i="5"/>
  <c r="W151" i="5"/>
  <c r="R152" i="5"/>
  <c r="S152" i="5"/>
  <c r="T152" i="5"/>
  <c r="U152" i="5"/>
  <c r="V152" i="5"/>
  <c r="W152" i="5"/>
  <c r="R153" i="5"/>
  <c r="S153" i="5"/>
  <c r="T153" i="5"/>
  <c r="U153" i="5"/>
  <c r="V153" i="5"/>
  <c r="W153" i="5"/>
  <c r="R154" i="5"/>
  <c r="S154" i="5"/>
  <c r="T154" i="5"/>
  <c r="U154" i="5"/>
  <c r="V154" i="5"/>
  <c r="W154" i="5"/>
  <c r="R155" i="5"/>
  <c r="S155" i="5"/>
  <c r="T155" i="5"/>
  <c r="U155" i="5"/>
  <c r="V155" i="5"/>
  <c r="W155" i="5"/>
  <c r="R156" i="5"/>
  <c r="S156" i="5"/>
  <c r="T156" i="5"/>
  <c r="U156" i="5"/>
  <c r="V156" i="5"/>
  <c r="W156" i="5"/>
  <c r="R157" i="5"/>
  <c r="S157" i="5"/>
  <c r="T157" i="5"/>
  <c r="U157" i="5"/>
  <c r="V157" i="5"/>
  <c r="W157" i="5"/>
  <c r="R158" i="5"/>
  <c r="S158" i="5"/>
  <c r="T158" i="5"/>
  <c r="U158" i="5"/>
  <c r="V158" i="5"/>
  <c r="W158" i="5"/>
  <c r="R159" i="5"/>
  <c r="S159" i="5"/>
  <c r="T159" i="5"/>
  <c r="U159" i="5"/>
  <c r="V159" i="5"/>
  <c r="W159" i="5"/>
  <c r="R160" i="5"/>
  <c r="S160" i="5"/>
  <c r="T160" i="5"/>
  <c r="U160" i="5"/>
  <c r="V160" i="5"/>
  <c r="W160" i="5"/>
  <c r="R161" i="5"/>
  <c r="S161" i="5"/>
  <c r="T161" i="5"/>
  <c r="U161" i="5"/>
  <c r="V161" i="5"/>
  <c r="W161" i="5"/>
  <c r="R162" i="5"/>
  <c r="S162" i="5"/>
  <c r="T162" i="5"/>
  <c r="U162" i="5"/>
  <c r="V162" i="5"/>
  <c r="W162" i="5"/>
  <c r="R163" i="5"/>
  <c r="S163" i="5"/>
  <c r="T163" i="5"/>
  <c r="U163" i="5"/>
  <c r="V163" i="5"/>
  <c r="W163" i="5"/>
  <c r="R164" i="5"/>
  <c r="S164" i="5"/>
  <c r="T164" i="5"/>
  <c r="U164" i="5"/>
  <c r="V164" i="5"/>
  <c r="W164" i="5"/>
  <c r="R165" i="5"/>
  <c r="S165" i="5"/>
  <c r="T165" i="5"/>
  <c r="U165" i="5"/>
  <c r="V165" i="5"/>
  <c r="W165" i="5"/>
  <c r="R166" i="5"/>
  <c r="S166" i="5"/>
  <c r="T166" i="5"/>
  <c r="U166" i="5"/>
  <c r="V166" i="5"/>
  <c r="W166" i="5"/>
  <c r="R167" i="5"/>
  <c r="S167" i="5"/>
  <c r="T167" i="5"/>
  <c r="U167" i="5"/>
  <c r="V167" i="5"/>
  <c r="W167" i="5"/>
  <c r="R168" i="5"/>
  <c r="S168" i="5"/>
  <c r="T168" i="5"/>
  <c r="U168" i="5"/>
  <c r="V168" i="5"/>
  <c r="W168" i="5"/>
  <c r="R169" i="5"/>
  <c r="S169" i="5"/>
  <c r="T169" i="5"/>
  <c r="U169" i="5"/>
  <c r="V169" i="5"/>
  <c r="W169" i="5"/>
  <c r="R170" i="5"/>
  <c r="S170" i="5"/>
  <c r="T170" i="5"/>
  <c r="U170" i="5"/>
  <c r="V170" i="5"/>
  <c r="W170" i="5"/>
  <c r="R171" i="5"/>
  <c r="S171" i="5"/>
  <c r="T171" i="5"/>
  <c r="U171" i="5"/>
  <c r="V171" i="5"/>
  <c r="W171" i="5"/>
  <c r="R172" i="5"/>
  <c r="S172" i="5"/>
  <c r="T172" i="5"/>
  <c r="U172" i="5"/>
  <c r="V172" i="5"/>
  <c r="W172" i="5"/>
  <c r="R173" i="5"/>
  <c r="S173" i="5"/>
  <c r="T173" i="5"/>
  <c r="U173" i="5"/>
  <c r="V173" i="5"/>
  <c r="W173" i="5"/>
  <c r="R174" i="5"/>
  <c r="S174" i="5"/>
  <c r="T174" i="5"/>
  <c r="U174" i="5"/>
  <c r="V174" i="5"/>
  <c r="W174" i="5"/>
  <c r="R175" i="5"/>
  <c r="S175" i="5"/>
  <c r="T175" i="5"/>
  <c r="U175" i="5"/>
  <c r="V175" i="5"/>
  <c r="W175" i="5"/>
  <c r="R176" i="5"/>
  <c r="S176" i="5"/>
  <c r="T176" i="5"/>
  <c r="U176" i="5"/>
  <c r="V176" i="5"/>
  <c r="W176" i="5"/>
  <c r="R177" i="5"/>
  <c r="S177" i="5"/>
  <c r="T177" i="5"/>
  <c r="U177" i="5"/>
  <c r="V177" i="5"/>
  <c r="W177" i="5"/>
  <c r="R178" i="5"/>
  <c r="S178" i="5"/>
  <c r="T178" i="5"/>
  <c r="U178" i="5"/>
  <c r="V178" i="5"/>
  <c r="W178" i="5"/>
  <c r="R179" i="5"/>
  <c r="S179" i="5"/>
  <c r="T179" i="5"/>
  <c r="U179" i="5"/>
  <c r="V179" i="5"/>
  <c r="W179" i="5"/>
  <c r="R180" i="5"/>
  <c r="S180" i="5"/>
  <c r="T180" i="5"/>
  <c r="U180" i="5"/>
  <c r="V180" i="5"/>
  <c r="W180" i="5"/>
  <c r="R181" i="5"/>
  <c r="S181" i="5"/>
  <c r="T181" i="5"/>
  <c r="U181" i="5"/>
  <c r="V181" i="5"/>
  <c r="W181" i="5"/>
  <c r="R182" i="5"/>
  <c r="S182" i="5"/>
  <c r="T182" i="5"/>
  <c r="U182" i="5"/>
  <c r="V182" i="5"/>
  <c r="W182" i="5"/>
  <c r="R183" i="5"/>
  <c r="S183" i="5"/>
  <c r="T183" i="5"/>
  <c r="U183" i="5"/>
  <c r="V183" i="5"/>
  <c r="W183" i="5"/>
  <c r="R184" i="5"/>
  <c r="S184" i="5"/>
  <c r="T184" i="5"/>
  <c r="U184" i="5"/>
  <c r="V184" i="5"/>
  <c r="W184" i="5"/>
  <c r="R185" i="5"/>
  <c r="S185" i="5"/>
  <c r="T185" i="5"/>
  <c r="U185" i="5"/>
  <c r="V185" i="5"/>
  <c r="W185" i="5"/>
  <c r="R186" i="5"/>
  <c r="S186" i="5"/>
  <c r="T186" i="5"/>
  <c r="U186" i="5"/>
  <c r="V186" i="5"/>
  <c r="W186" i="5"/>
  <c r="R187" i="5"/>
  <c r="S187" i="5"/>
  <c r="T187" i="5"/>
  <c r="U187" i="5"/>
  <c r="V187" i="5"/>
  <c r="W187" i="5"/>
  <c r="R188" i="5"/>
  <c r="S188" i="5"/>
  <c r="T188" i="5"/>
  <c r="U188" i="5"/>
  <c r="V188" i="5"/>
  <c r="W188" i="5"/>
  <c r="R189" i="5"/>
  <c r="S189" i="5"/>
  <c r="T189" i="5"/>
  <c r="U189" i="5"/>
  <c r="V189" i="5"/>
  <c r="W189" i="5"/>
  <c r="R190" i="5"/>
  <c r="S190" i="5"/>
  <c r="T190" i="5"/>
  <c r="U190" i="5"/>
  <c r="V190" i="5"/>
  <c r="W190" i="5"/>
  <c r="R191" i="5"/>
  <c r="S191" i="5"/>
  <c r="T191" i="5"/>
  <c r="U191" i="5"/>
  <c r="V191" i="5"/>
  <c r="W191" i="5"/>
  <c r="R192" i="5"/>
  <c r="S192" i="5"/>
  <c r="T192" i="5"/>
  <c r="U192" i="5"/>
  <c r="V192" i="5"/>
  <c r="W192" i="5"/>
  <c r="R193" i="5"/>
  <c r="S193" i="5"/>
  <c r="T193" i="5"/>
  <c r="U193" i="5"/>
  <c r="V193" i="5"/>
  <c r="W193" i="5"/>
  <c r="R194" i="5"/>
  <c r="S194" i="5"/>
  <c r="T194" i="5"/>
  <c r="U194" i="5"/>
  <c r="V194" i="5"/>
  <c r="W194" i="5"/>
  <c r="R195" i="5"/>
  <c r="S195" i="5"/>
  <c r="T195" i="5"/>
  <c r="U195" i="5"/>
  <c r="V195" i="5"/>
  <c r="W195" i="5"/>
  <c r="R196" i="5"/>
  <c r="S196" i="5"/>
  <c r="T196" i="5"/>
  <c r="U196" i="5"/>
  <c r="V196" i="5"/>
  <c r="W196" i="5"/>
  <c r="R197" i="5"/>
  <c r="S197" i="5"/>
  <c r="T197" i="5"/>
  <c r="U197" i="5"/>
  <c r="V197" i="5"/>
  <c r="W197" i="5"/>
  <c r="R198" i="5"/>
  <c r="S198" i="5"/>
  <c r="T198" i="5"/>
  <c r="U198" i="5"/>
  <c r="V198" i="5"/>
  <c r="W198" i="5"/>
  <c r="R199" i="5"/>
  <c r="S199" i="5"/>
  <c r="T199" i="5"/>
  <c r="U199" i="5"/>
  <c r="V199" i="5"/>
  <c r="W199" i="5"/>
  <c r="R200" i="5"/>
  <c r="S200" i="5"/>
  <c r="T200" i="5"/>
  <c r="U200" i="5"/>
  <c r="V200" i="5"/>
  <c r="W200" i="5"/>
  <c r="R201" i="5"/>
  <c r="S201" i="5"/>
  <c r="T201" i="5"/>
  <c r="U201" i="5"/>
  <c r="V201" i="5"/>
  <c r="W201" i="5"/>
  <c r="R202" i="5"/>
  <c r="S202" i="5"/>
  <c r="T202" i="5"/>
  <c r="U202" i="5"/>
  <c r="V202" i="5"/>
  <c r="W202" i="5"/>
  <c r="R203" i="5"/>
  <c r="S203" i="5"/>
  <c r="T203" i="5"/>
  <c r="U203" i="5"/>
  <c r="V203" i="5"/>
  <c r="W203" i="5"/>
  <c r="R204" i="5"/>
  <c r="S204" i="5"/>
  <c r="T204" i="5"/>
  <c r="U204" i="5"/>
  <c r="V204" i="5"/>
  <c r="W204" i="5"/>
  <c r="R205" i="5"/>
  <c r="S205" i="5"/>
  <c r="T205" i="5"/>
  <c r="U205" i="5"/>
  <c r="V205" i="5"/>
  <c r="W205" i="5"/>
  <c r="R206" i="5"/>
  <c r="S206" i="5"/>
  <c r="T206" i="5"/>
  <c r="U206" i="5"/>
  <c r="V206" i="5"/>
  <c r="W206" i="5"/>
  <c r="R207" i="5"/>
  <c r="S207" i="5"/>
  <c r="T207" i="5"/>
  <c r="U207" i="5"/>
  <c r="V207" i="5"/>
  <c r="W207" i="5"/>
  <c r="R208" i="5"/>
  <c r="S208" i="5"/>
  <c r="T208" i="5"/>
  <c r="U208" i="5"/>
  <c r="V208" i="5"/>
  <c r="W208" i="5"/>
  <c r="R209" i="5"/>
  <c r="S209" i="5"/>
  <c r="T209" i="5"/>
  <c r="U209" i="5"/>
  <c r="V209" i="5"/>
  <c r="W209" i="5"/>
  <c r="R210" i="5"/>
  <c r="S210" i="5"/>
  <c r="T210" i="5"/>
  <c r="U210" i="5"/>
  <c r="V210" i="5"/>
  <c r="W210" i="5"/>
  <c r="R211" i="5"/>
  <c r="S211" i="5"/>
  <c r="T211" i="5"/>
  <c r="U211" i="5"/>
  <c r="V211" i="5"/>
  <c r="W211" i="5"/>
  <c r="R212" i="5"/>
  <c r="S212" i="5"/>
  <c r="T212" i="5"/>
  <c r="U212" i="5"/>
  <c r="V212" i="5"/>
  <c r="W212" i="5"/>
  <c r="R213" i="5"/>
  <c r="S213" i="5"/>
  <c r="T213" i="5"/>
  <c r="U213" i="5"/>
  <c r="V213" i="5"/>
  <c r="W213" i="5"/>
  <c r="R214" i="5"/>
  <c r="S214" i="5"/>
  <c r="T214" i="5"/>
  <c r="U214" i="5"/>
  <c r="V214" i="5"/>
  <c r="W214" i="5"/>
  <c r="R215" i="5"/>
  <c r="S215" i="5"/>
  <c r="T215" i="5"/>
  <c r="U215" i="5"/>
  <c r="V215" i="5"/>
  <c r="W215" i="5"/>
  <c r="R216" i="5"/>
  <c r="S216" i="5"/>
  <c r="T216" i="5"/>
  <c r="U216" i="5"/>
  <c r="V216" i="5"/>
  <c r="W216" i="5"/>
  <c r="R217" i="5"/>
  <c r="S217" i="5"/>
  <c r="T217" i="5"/>
  <c r="U217" i="5"/>
  <c r="V217" i="5"/>
  <c r="W217" i="5"/>
  <c r="R218" i="5"/>
  <c r="S218" i="5"/>
  <c r="T218" i="5"/>
  <c r="U218" i="5"/>
  <c r="V218" i="5"/>
  <c r="W218" i="5"/>
  <c r="R219" i="5"/>
  <c r="S219" i="5"/>
  <c r="T219" i="5"/>
  <c r="U219" i="5"/>
  <c r="V219" i="5"/>
  <c r="W219" i="5"/>
  <c r="R220" i="5"/>
  <c r="S220" i="5"/>
  <c r="T220" i="5"/>
  <c r="U220" i="5"/>
  <c r="V220" i="5"/>
  <c r="W220" i="5"/>
  <c r="R221" i="5"/>
  <c r="S221" i="5"/>
  <c r="T221" i="5"/>
  <c r="U221" i="5"/>
  <c r="V221" i="5"/>
  <c r="W221" i="5"/>
  <c r="R222" i="5"/>
  <c r="S222" i="5"/>
  <c r="T222" i="5"/>
  <c r="U222" i="5"/>
  <c r="V222" i="5"/>
  <c r="W222" i="5"/>
  <c r="R223" i="5"/>
  <c r="S223" i="5"/>
  <c r="T223" i="5"/>
  <c r="U223" i="5"/>
  <c r="V223" i="5"/>
  <c r="W223" i="5"/>
  <c r="R224" i="5"/>
  <c r="S224" i="5"/>
  <c r="T224" i="5"/>
  <c r="U224" i="5"/>
  <c r="V224" i="5"/>
  <c r="W224" i="5"/>
  <c r="R225" i="5"/>
  <c r="S225" i="5"/>
  <c r="T225" i="5"/>
  <c r="U225" i="5"/>
  <c r="V225" i="5"/>
  <c r="W225" i="5"/>
  <c r="R226" i="5"/>
  <c r="S226" i="5"/>
  <c r="T226" i="5"/>
  <c r="U226" i="5"/>
  <c r="V226" i="5"/>
  <c r="W226" i="5"/>
  <c r="R227" i="5"/>
  <c r="S227" i="5"/>
  <c r="T227" i="5"/>
  <c r="U227" i="5"/>
  <c r="V227" i="5"/>
  <c r="W227" i="5"/>
  <c r="R228" i="5"/>
  <c r="S228" i="5"/>
  <c r="T228" i="5"/>
  <c r="U228" i="5"/>
  <c r="V228" i="5"/>
  <c r="W228" i="5"/>
  <c r="R229" i="5"/>
  <c r="S229" i="5"/>
  <c r="T229" i="5"/>
  <c r="U229" i="5"/>
  <c r="V229" i="5"/>
  <c r="W229" i="5"/>
  <c r="R230" i="5"/>
  <c r="S230" i="5"/>
  <c r="T230" i="5"/>
  <c r="U230" i="5"/>
  <c r="V230" i="5"/>
  <c r="W230" i="5"/>
  <c r="R231" i="5"/>
  <c r="S231" i="5"/>
  <c r="T231" i="5"/>
  <c r="U231" i="5"/>
  <c r="V231" i="5"/>
  <c r="W231" i="5"/>
  <c r="R232" i="5"/>
  <c r="S232" i="5"/>
  <c r="T232" i="5"/>
  <c r="U232" i="5"/>
  <c r="V232" i="5"/>
  <c r="W232" i="5"/>
  <c r="R233" i="5"/>
  <c r="S233" i="5"/>
  <c r="T233" i="5"/>
  <c r="U233" i="5"/>
  <c r="V233" i="5"/>
  <c r="W233" i="5"/>
  <c r="R234" i="5"/>
  <c r="S234" i="5"/>
  <c r="T234" i="5"/>
  <c r="U234" i="5"/>
  <c r="V234" i="5"/>
  <c r="W234" i="5"/>
  <c r="R235" i="5"/>
  <c r="S235" i="5"/>
  <c r="T235" i="5"/>
  <c r="U235" i="5"/>
  <c r="V235" i="5"/>
  <c r="W235" i="5"/>
  <c r="R236" i="5"/>
  <c r="S236" i="5"/>
  <c r="T236" i="5"/>
  <c r="U236" i="5"/>
  <c r="V236" i="5"/>
  <c r="W236" i="5"/>
  <c r="R237" i="5"/>
  <c r="S237" i="5"/>
  <c r="T237" i="5"/>
  <c r="U237" i="5"/>
  <c r="V237" i="5"/>
  <c r="W237" i="5"/>
  <c r="R238" i="5"/>
  <c r="S238" i="5"/>
  <c r="T238" i="5"/>
  <c r="U238" i="5"/>
  <c r="V238" i="5"/>
  <c r="W238" i="5"/>
  <c r="R239" i="5"/>
  <c r="S239" i="5"/>
  <c r="T239" i="5"/>
  <c r="U239" i="5"/>
  <c r="V239" i="5"/>
  <c r="W239" i="5"/>
  <c r="R240" i="5"/>
  <c r="S240" i="5"/>
  <c r="T240" i="5"/>
  <c r="U240" i="5"/>
  <c r="V240" i="5"/>
  <c r="W240" i="5"/>
  <c r="R241" i="5"/>
  <c r="S241" i="5"/>
  <c r="T241" i="5"/>
  <c r="U241" i="5"/>
  <c r="V241" i="5"/>
  <c r="W241" i="5"/>
  <c r="R242" i="5"/>
  <c r="S242" i="5"/>
  <c r="T242" i="5"/>
  <c r="U242" i="5"/>
  <c r="V242" i="5"/>
  <c r="W242" i="5"/>
  <c r="R243" i="5"/>
  <c r="S243" i="5"/>
  <c r="T243" i="5"/>
  <c r="U243" i="5"/>
  <c r="V243" i="5"/>
  <c r="W243" i="5"/>
  <c r="R244" i="5"/>
  <c r="S244" i="5"/>
  <c r="T244" i="5"/>
  <c r="U244" i="5"/>
  <c r="V244" i="5"/>
  <c r="W244" i="5"/>
  <c r="R245" i="5"/>
  <c r="S245" i="5"/>
  <c r="T245" i="5"/>
  <c r="U245" i="5"/>
  <c r="V245" i="5"/>
  <c r="W245" i="5"/>
  <c r="R246" i="5"/>
  <c r="S246" i="5"/>
  <c r="T246" i="5"/>
  <c r="U246" i="5"/>
  <c r="V246" i="5"/>
  <c r="W246" i="5"/>
  <c r="R247" i="5"/>
  <c r="S247" i="5"/>
  <c r="T247" i="5"/>
  <c r="U247" i="5"/>
  <c r="V247" i="5"/>
  <c r="W247" i="5"/>
  <c r="R248" i="5"/>
  <c r="S248" i="5"/>
  <c r="T248" i="5"/>
  <c r="U248" i="5"/>
  <c r="V248" i="5"/>
  <c r="W248" i="5"/>
  <c r="R249" i="5"/>
  <c r="S249" i="5"/>
  <c r="T249" i="5"/>
  <c r="U249" i="5"/>
  <c r="V249" i="5"/>
  <c r="W249" i="5"/>
  <c r="R250" i="5"/>
  <c r="S250" i="5"/>
  <c r="T250" i="5"/>
  <c r="U250" i="5"/>
  <c r="V250" i="5"/>
  <c r="W250" i="5"/>
  <c r="R251" i="5"/>
  <c r="S251" i="5"/>
  <c r="T251" i="5"/>
  <c r="U251" i="5"/>
  <c r="V251" i="5"/>
  <c r="W251" i="5"/>
  <c r="R252" i="5"/>
  <c r="S252" i="5"/>
  <c r="T252" i="5"/>
  <c r="U252" i="5"/>
  <c r="V252" i="5"/>
  <c r="W252" i="5"/>
  <c r="R253" i="5"/>
  <c r="S253" i="5"/>
  <c r="T253" i="5"/>
  <c r="U253" i="5"/>
  <c r="V253" i="5"/>
  <c r="W253" i="5"/>
  <c r="R254" i="5"/>
  <c r="S254" i="5"/>
  <c r="T254" i="5"/>
  <c r="U254" i="5"/>
  <c r="V254" i="5"/>
  <c r="W254" i="5"/>
  <c r="R255" i="5"/>
  <c r="S255" i="5"/>
  <c r="T255" i="5"/>
  <c r="U255" i="5"/>
  <c r="V255" i="5"/>
  <c r="W255" i="5"/>
  <c r="R256" i="5"/>
  <c r="S256" i="5"/>
  <c r="T256" i="5"/>
  <c r="U256" i="5"/>
  <c r="V256" i="5"/>
  <c r="W256" i="5"/>
  <c r="R257" i="5"/>
  <c r="S257" i="5"/>
  <c r="T257" i="5"/>
  <c r="U257" i="5"/>
  <c r="V257" i="5"/>
  <c r="W257" i="5"/>
  <c r="R258" i="5"/>
  <c r="S258" i="5"/>
  <c r="T258" i="5"/>
  <c r="U258" i="5"/>
  <c r="V258" i="5"/>
  <c r="W258" i="5"/>
  <c r="R259" i="5"/>
  <c r="S259" i="5"/>
  <c r="T259" i="5"/>
  <c r="U259" i="5"/>
  <c r="V259" i="5"/>
  <c r="W259" i="5"/>
  <c r="R260" i="5"/>
  <c r="S260" i="5"/>
  <c r="T260" i="5"/>
  <c r="U260" i="5"/>
  <c r="V260" i="5"/>
  <c r="W260" i="5"/>
  <c r="R261" i="5"/>
  <c r="S261" i="5"/>
  <c r="T261" i="5"/>
  <c r="U261" i="5"/>
  <c r="V261" i="5"/>
  <c r="W261" i="5"/>
  <c r="R262" i="5"/>
  <c r="S262" i="5"/>
  <c r="T262" i="5"/>
  <c r="U262" i="5"/>
  <c r="V262" i="5"/>
  <c r="W262" i="5"/>
  <c r="R263" i="5"/>
  <c r="S263" i="5"/>
  <c r="T263" i="5"/>
  <c r="U263" i="5"/>
  <c r="V263" i="5"/>
  <c r="W263" i="5"/>
  <c r="R264" i="5"/>
  <c r="S264" i="5"/>
  <c r="T264" i="5"/>
  <c r="U264" i="5"/>
  <c r="V264" i="5"/>
  <c r="W264" i="5"/>
  <c r="R265" i="5"/>
  <c r="S265" i="5"/>
  <c r="T265" i="5"/>
  <c r="U265" i="5"/>
  <c r="V265" i="5"/>
  <c r="W265" i="5"/>
  <c r="R266" i="5"/>
  <c r="S266" i="5"/>
  <c r="T266" i="5"/>
  <c r="U266" i="5"/>
  <c r="V266" i="5"/>
  <c r="W266" i="5"/>
  <c r="R267" i="5"/>
  <c r="S267" i="5"/>
  <c r="T267" i="5"/>
  <c r="U267" i="5"/>
  <c r="V267" i="5"/>
  <c r="W267" i="5"/>
  <c r="R268" i="5"/>
  <c r="S268" i="5"/>
  <c r="T268" i="5"/>
  <c r="U268" i="5"/>
  <c r="V268" i="5"/>
  <c r="W268" i="5"/>
  <c r="R269" i="5"/>
  <c r="S269" i="5"/>
  <c r="T269" i="5"/>
  <c r="U269" i="5"/>
  <c r="V269" i="5"/>
  <c r="W269" i="5"/>
  <c r="R270" i="5"/>
  <c r="S270" i="5"/>
  <c r="T270" i="5"/>
  <c r="U270" i="5"/>
  <c r="V270" i="5"/>
  <c r="W270" i="5"/>
  <c r="R271" i="5"/>
  <c r="S271" i="5"/>
  <c r="T271" i="5"/>
  <c r="U271" i="5"/>
  <c r="V271" i="5"/>
  <c r="W271" i="5"/>
  <c r="R272" i="5"/>
  <c r="S272" i="5"/>
  <c r="T272" i="5"/>
  <c r="U272" i="5"/>
  <c r="V272" i="5"/>
  <c r="W272" i="5"/>
  <c r="R273" i="5"/>
  <c r="S273" i="5"/>
  <c r="T273" i="5"/>
  <c r="U273" i="5"/>
  <c r="V273" i="5"/>
  <c r="W273" i="5"/>
  <c r="R274" i="5"/>
  <c r="S274" i="5"/>
  <c r="T274" i="5"/>
  <c r="U274" i="5"/>
  <c r="V274" i="5"/>
  <c r="W274" i="5"/>
  <c r="R275" i="5"/>
  <c r="S275" i="5"/>
  <c r="T275" i="5"/>
  <c r="U275" i="5"/>
  <c r="V275" i="5"/>
  <c r="W275" i="5"/>
  <c r="R276" i="5"/>
  <c r="S276" i="5"/>
  <c r="T276" i="5"/>
  <c r="U276" i="5"/>
  <c r="V276" i="5"/>
  <c r="W276" i="5"/>
  <c r="R277" i="5"/>
  <c r="S277" i="5"/>
  <c r="T277" i="5"/>
  <c r="U277" i="5"/>
  <c r="V277" i="5"/>
  <c r="W277" i="5"/>
  <c r="R278" i="5"/>
  <c r="S278" i="5"/>
  <c r="T278" i="5"/>
  <c r="U278" i="5"/>
  <c r="V278" i="5"/>
  <c r="W278" i="5"/>
  <c r="R279" i="5"/>
  <c r="S279" i="5"/>
  <c r="T279" i="5"/>
  <c r="U279" i="5"/>
  <c r="V279" i="5"/>
  <c r="W279" i="5"/>
  <c r="R280" i="5"/>
  <c r="S280" i="5"/>
  <c r="T280" i="5"/>
  <c r="U280" i="5"/>
  <c r="V280" i="5"/>
  <c r="W280" i="5"/>
  <c r="R281" i="5"/>
  <c r="S281" i="5"/>
  <c r="T281" i="5"/>
  <c r="U281" i="5"/>
  <c r="V281" i="5"/>
  <c r="W281" i="5"/>
  <c r="R282" i="5"/>
  <c r="S282" i="5"/>
  <c r="T282" i="5"/>
  <c r="U282" i="5"/>
  <c r="V282" i="5"/>
  <c r="W282" i="5"/>
  <c r="R283" i="5"/>
  <c r="S283" i="5"/>
  <c r="T283" i="5"/>
  <c r="U283" i="5"/>
  <c r="V283" i="5"/>
  <c r="W283" i="5"/>
  <c r="R284" i="5"/>
  <c r="S284" i="5"/>
  <c r="T284" i="5"/>
  <c r="U284" i="5"/>
  <c r="V284" i="5"/>
  <c r="W284" i="5"/>
  <c r="R285" i="5"/>
  <c r="S285" i="5"/>
  <c r="T285" i="5"/>
  <c r="U285" i="5"/>
  <c r="V285" i="5"/>
  <c r="W285" i="5"/>
  <c r="R286" i="5"/>
  <c r="S286" i="5"/>
  <c r="T286" i="5"/>
  <c r="U286" i="5"/>
  <c r="V286" i="5"/>
  <c r="W286" i="5"/>
  <c r="R287" i="5"/>
  <c r="S287" i="5"/>
  <c r="T287" i="5"/>
  <c r="U287" i="5"/>
  <c r="V287" i="5"/>
  <c r="W287" i="5"/>
  <c r="R288" i="5"/>
  <c r="S288" i="5"/>
  <c r="T288" i="5"/>
  <c r="U288" i="5"/>
  <c r="V288" i="5"/>
  <c r="W288" i="5"/>
  <c r="R289" i="5"/>
  <c r="S289" i="5"/>
  <c r="T289" i="5"/>
  <c r="U289" i="5"/>
  <c r="V289" i="5"/>
  <c r="W289" i="5"/>
  <c r="R290" i="5"/>
  <c r="S290" i="5"/>
  <c r="T290" i="5"/>
  <c r="U290" i="5"/>
  <c r="V290" i="5"/>
  <c r="W290" i="5"/>
  <c r="R291" i="5"/>
  <c r="S291" i="5"/>
  <c r="T291" i="5"/>
  <c r="U291" i="5"/>
  <c r="V291" i="5"/>
  <c r="W291" i="5"/>
  <c r="R292" i="5"/>
  <c r="S292" i="5"/>
  <c r="T292" i="5"/>
  <c r="U292" i="5"/>
  <c r="V292" i="5"/>
  <c r="W292" i="5"/>
  <c r="R293" i="5"/>
  <c r="S293" i="5"/>
  <c r="T293" i="5"/>
  <c r="U293" i="5"/>
  <c r="V293" i="5"/>
  <c r="W293" i="5"/>
  <c r="R294" i="5"/>
  <c r="S294" i="5"/>
  <c r="T294" i="5"/>
  <c r="U294" i="5"/>
  <c r="V294" i="5"/>
  <c r="W294" i="5"/>
  <c r="R295" i="5"/>
  <c r="S295" i="5"/>
  <c r="T295" i="5"/>
  <c r="U295" i="5"/>
  <c r="V295" i="5"/>
  <c r="W295" i="5"/>
  <c r="R296" i="5"/>
  <c r="S296" i="5"/>
  <c r="T296" i="5"/>
  <c r="U296" i="5"/>
  <c r="V296" i="5"/>
  <c r="W296" i="5"/>
  <c r="R297" i="5"/>
  <c r="S297" i="5"/>
  <c r="T297" i="5"/>
  <c r="U297" i="5"/>
  <c r="V297" i="5"/>
  <c r="W297" i="5"/>
  <c r="R298" i="5"/>
  <c r="S298" i="5"/>
  <c r="T298" i="5"/>
  <c r="U298" i="5"/>
  <c r="V298" i="5"/>
  <c r="W298" i="5"/>
  <c r="R299" i="5"/>
  <c r="S299" i="5"/>
  <c r="T299" i="5"/>
  <c r="U299" i="5"/>
  <c r="V299" i="5"/>
  <c r="W299" i="5"/>
  <c r="R300" i="5"/>
  <c r="S300" i="5"/>
  <c r="T300" i="5"/>
  <c r="U300" i="5"/>
  <c r="V300" i="5"/>
  <c r="W300" i="5"/>
  <c r="R301" i="5"/>
  <c r="S301" i="5"/>
  <c r="T301" i="5"/>
  <c r="U301" i="5"/>
  <c r="V301" i="5"/>
  <c r="W301" i="5"/>
  <c r="R302" i="5"/>
  <c r="S302" i="5"/>
  <c r="T302" i="5"/>
  <c r="U302" i="5"/>
  <c r="V302" i="5"/>
  <c r="W302" i="5"/>
  <c r="R303" i="5"/>
  <c r="S303" i="5"/>
  <c r="T303" i="5"/>
  <c r="U303" i="5"/>
  <c r="V303" i="5"/>
  <c r="W303" i="5"/>
  <c r="R304" i="5"/>
  <c r="S304" i="5"/>
  <c r="T304" i="5"/>
  <c r="U304" i="5"/>
  <c r="V304" i="5"/>
  <c r="W304" i="5"/>
  <c r="R305" i="5"/>
  <c r="S305" i="5"/>
  <c r="T305" i="5"/>
  <c r="U305" i="5"/>
  <c r="V305" i="5"/>
  <c r="W305" i="5"/>
  <c r="R306" i="5"/>
  <c r="S306" i="5"/>
  <c r="T306" i="5"/>
  <c r="U306" i="5"/>
  <c r="V306" i="5"/>
  <c r="W306" i="5"/>
  <c r="R307" i="5"/>
  <c r="S307" i="5"/>
  <c r="T307" i="5"/>
  <c r="U307" i="5"/>
  <c r="V307" i="5"/>
  <c r="W307" i="5"/>
  <c r="R308" i="5"/>
  <c r="S308" i="5"/>
  <c r="T308" i="5"/>
  <c r="U308" i="5"/>
  <c r="V308" i="5"/>
  <c r="W308" i="5"/>
  <c r="R309" i="5"/>
  <c r="S309" i="5"/>
  <c r="T309" i="5"/>
  <c r="U309" i="5"/>
  <c r="V309" i="5"/>
  <c r="W309" i="5"/>
  <c r="R310" i="5"/>
  <c r="S310" i="5"/>
  <c r="T310" i="5"/>
  <c r="U310" i="5"/>
  <c r="V310" i="5"/>
  <c r="W310" i="5"/>
  <c r="R311" i="5"/>
  <c r="S311" i="5"/>
  <c r="T311" i="5"/>
  <c r="U311" i="5"/>
  <c r="V311" i="5"/>
  <c r="W311" i="5"/>
  <c r="R312" i="5"/>
  <c r="S312" i="5"/>
  <c r="T312" i="5"/>
  <c r="U312" i="5"/>
  <c r="V312" i="5"/>
  <c r="W312" i="5"/>
  <c r="R313" i="5"/>
  <c r="S313" i="5"/>
  <c r="T313" i="5"/>
  <c r="U313" i="5"/>
  <c r="V313" i="5"/>
  <c r="W313" i="5"/>
  <c r="R314" i="5"/>
  <c r="S314" i="5"/>
  <c r="T314" i="5"/>
  <c r="U314" i="5"/>
  <c r="V314" i="5"/>
  <c r="W314" i="5"/>
  <c r="R315" i="5"/>
  <c r="S315" i="5"/>
  <c r="T315" i="5"/>
  <c r="U315" i="5"/>
  <c r="V315" i="5"/>
  <c r="W315" i="5"/>
  <c r="R316" i="5"/>
  <c r="S316" i="5"/>
  <c r="T316" i="5"/>
  <c r="U316" i="5"/>
  <c r="V316" i="5"/>
  <c r="W316" i="5"/>
  <c r="R317" i="5"/>
  <c r="S317" i="5"/>
  <c r="T317" i="5"/>
  <c r="U317" i="5"/>
  <c r="V317" i="5"/>
  <c r="W317" i="5"/>
  <c r="R318" i="5"/>
  <c r="S318" i="5"/>
  <c r="T318" i="5"/>
  <c r="U318" i="5"/>
  <c r="V318" i="5"/>
  <c r="W318" i="5"/>
  <c r="R319" i="5"/>
  <c r="S319" i="5"/>
  <c r="T319" i="5"/>
  <c r="U319" i="5"/>
  <c r="V319" i="5"/>
  <c r="W319" i="5"/>
  <c r="R320" i="5"/>
  <c r="S320" i="5"/>
  <c r="T320" i="5"/>
  <c r="U320" i="5"/>
  <c r="V320" i="5"/>
  <c r="W320" i="5"/>
  <c r="R321" i="5"/>
  <c r="S321" i="5"/>
  <c r="T321" i="5"/>
  <c r="U321" i="5"/>
  <c r="V321" i="5"/>
  <c r="W321" i="5"/>
  <c r="R322" i="5"/>
  <c r="S322" i="5"/>
  <c r="T322" i="5"/>
  <c r="U322" i="5"/>
  <c r="V322" i="5"/>
  <c r="W322" i="5"/>
  <c r="R323" i="5"/>
  <c r="S323" i="5"/>
  <c r="T323" i="5"/>
  <c r="U323" i="5"/>
  <c r="V323" i="5"/>
  <c r="W323" i="5"/>
  <c r="R324" i="5"/>
  <c r="S324" i="5"/>
  <c r="T324" i="5"/>
  <c r="U324" i="5"/>
  <c r="V324" i="5"/>
  <c r="W324" i="5"/>
  <c r="R325" i="5"/>
  <c r="S325" i="5"/>
  <c r="T325" i="5"/>
  <c r="U325" i="5"/>
  <c r="V325" i="5"/>
  <c r="W325" i="5"/>
  <c r="R326" i="5"/>
  <c r="S326" i="5"/>
  <c r="T326" i="5"/>
  <c r="U326" i="5"/>
  <c r="V326" i="5"/>
  <c r="W326" i="5"/>
  <c r="R327" i="5"/>
  <c r="S327" i="5"/>
  <c r="T327" i="5"/>
  <c r="U327" i="5"/>
  <c r="V327" i="5"/>
  <c r="W327" i="5"/>
  <c r="R328" i="5"/>
  <c r="S328" i="5"/>
  <c r="T328" i="5"/>
  <c r="U328" i="5"/>
  <c r="V328" i="5"/>
  <c r="W328" i="5"/>
  <c r="R329" i="5"/>
  <c r="S329" i="5"/>
  <c r="T329" i="5"/>
  <c r="U329" i="5"/>
  <c r="V329" i="5"/>
  <c r="W329" i="5"/>
  <c r="R330" i="5"/>
  <c r="S330" i="5"/>
  <c r="T330" i="5"/>
  <c r="U330" i="5"/>
  <c r="V330" i="5"/>
  <c r="W330" i="5"/>
  <c r="R331" i="5"/>
  <c r="S331" i="5"/>
  <c r="T331" i="5"/>
  <c r="U331" i="5"/>
  <c r="V331" i="5"/>
  <c r="W331" i="5"/>
  <c r="R332" i="5"/>
  <c r="S332" i="5"/>
  <c r="T332" i="5"/>
  <c r="U332" i="5"/>
  <c r="V332" i="5"/>
  <c r="W332" i="5"/>
  <c r="R333" i="5"/>
  <c r="S333" i="5"/>
  <c r="T333" i="5"/>
  <c r="U333" i="5"/>
  <c r="V333" i="5"/>
  <c r="W333" i="5"/>
  <c r="R334" i="5"/>
  <c r="S334" i="5"/>
  <c r="T334" i="5"/>
  <c r="U334" i="5"/>
  <c r="V334" i="5"/>
  <c r="W334" i="5"/>
  <c r="R335" i="5"/>
  <c r="S335" i="5"/>
  <c r="T335" i="5"/>
  <c r="U335" i="5"/>
  <c r="V335" i="5"/>
  <c r="W335" i="5"/>
  <c r="R336" i="5"/>
  <c r="S336" i="5"/>
  <c r="T336" i="5"/>
  <c r="U336" i="5"/>
  <c r="V336" i="5"/>
  <c r="W336" i="5"/>
  <c r="R337" i="5"/>
  <c r="S337" i="5"/>
  <c r="T337" i="5"/>
  <c r="U337" i="5"/>
  <c r="V337" i="5"/>
  <c r="W337" i="5"/>
  <c r="R338" i="5"/>
  <c r="S338" i="5"/>
  <c r="T338" i="5"/>
  <c r="U338" i="5"/>
  <c r="V338" i="5"/>
  <c r="W338" i="5"/>
  <c r="R339" i="5"/>
  <c r="S339" i="5"/>
  <c r="T339" i="5"/>
  <c r="U339" i="5"/>
  <c r="V339" i="5"/>
  <c r="W339" i="5"/>
  <c r="R340" i="5"/>
  <c r="S340" i="5"/>
  <c r="T340" i="5"/>
  <c r="U340" i="5"/>
  <c r="V340" i="5"/>
  <c r="W340" i="5"/>
  <c r="R341" i="5"/>
  <c r="S341" i="5"/>
  <c r="T341" i="5"/>
  <c r="U341" i="5"/>
  <c r="V341" i="5"/>
  <c r="W341" i="5"/>
  <c r="R342" i="5"/>
  <c r="S342" i="5"/>
  <c r="T342" i="5"/>
  <c r="U342" i="5"/>
  <c r="V342" i="5"/>
  <c r="W342" i="5"/>
  <c r="R343" i="5"/>
  <c r="S343" i="5"/>
  <c r="T343" i="5"/>
  <c r="U343" i="5"/>
  <c r="V343" i="5"/>
  <c r="W343" i="5"/>
  <c r="R344" i="5"/>
  <c r="S344" i="5"/>
  <c r="T344" i="5"/>
  <c r="U344" i="5"/>
  <c r="V344" i="5"/>
  <c r="W344" i="5"/>
  <c r="R345" i="5"/>
  <c r="S345" i="5"/>
  <c r="T345" i="5"/>
  <c r="U345" i="5"/>
  <c r="V345" i="5"/>
  <c r="W345" i="5"/>
  <c r="R346" i="5"/>
  <c r="S346" i="5"/>
  <c r="T346" i="5"/>
  <c r="U346" i="5"/>
  <c r="V346" i="5"/>
  <c r="W346" i="5"/>
  <c r="R347" i="5"/>
  <c r="S347" i="5"/>
  <c r="T347" i="5"/>
  <c r="U347" i="5"/>
  <c r="V347" i="5"/>
  <c r="W347" i="5"/>
  <c r="R348" i="5"/>
  <c r="S348" i="5"/>
  <c r="T348" i="5"/>
  <c r="U348" i="5"/>
  <c r="V348" i="5"/>
  <c r="W348" i="5"/>
  <c r="R349" i="5"/>
  <c r="S349" i="5"/>
  <c r="T349" i="5"/>
  <c r="U349" i="5"/>
  <c r="V349" i="5"/>
  <c r="W349" i="5"/>
  <c r="R350" i="5"/>
  <c r="S350" i="5"/>
  <c r="T350" i="5"/>
  <c r="U350" i="5"/>
  <c r="V350" i="5"/>
  <c r="W350" i="5"/>
  <c r="R351" i="5"/>
  <c r="S351" i="5"/>
  <c r="T351" i="5"/>
  <c r="U351" i="5"/>
  <c r="V351" i="5"/>
  <c r="W351" i="5"/>
  <c r="R352" i="5"/>
  <c r="S352" i="5"/>
  <c r="T352" i="5"/>
  <c r="U352" i="5"/>
  <c r="V352" i="5"/>
  <c r="W352" i="5"/>
  <c r="R353" i="5"/>
  <c r="S353" i="5"/>
  <c r="T353" i="5"/>
  <c r="U353" i="5"/>
  <c r="V353" i="5"/>
  <c r="W353" i="5"/>
  <c r="R354" i="5"/>
  <c r="S354" i="5"/>
  <c r="T354" i="5"/>
  <c r="U354" i="5"/>
  <c r="V354" i="5"/>
  <c r="W354" i="5"/>
  <c r="R355" i="5"/>
  <c r="S355" i="5"/>
  <c r="T355" i="5"/>
  <c r="U355" i="5"/>
  <c r="V355" i="5"/>
  <c r="W355" i="5"/>
  <c r="R356" i="5"/>
  <c r="S356" i="5"/>
  <c r="T356" i="5"/>
  <c r="U356" i="5"/>
  <c r="V356" i="5"/>
  <c r="W356" i="5"/>
  <c r="R357" i="5"/>
  <c r="S357" i="5"/>
  <c r="T357" i="5"/>
  <c r="U357" i="5"/>
  <c r="V357" i="5"/>
  <c r="W357" i="5"/>
  <c r="R358" i="5"/>
  <c r="S358" i="5"/>
  <c r="T358" i="5"/>
  <c r="U358" i="5"/>
  <c r="V358" i="5"/>
  <c r="W358" i="5"/>
  <c r="R359" i="5"/>
  <c r="S359" i="5"/>
  <c r="T359" i="5"/>
  <c r="U359" i="5"/>
  <c r="V359" i="5"/>
  <c r="W359" i="5"/>
  <c r="R360" i="5"/>
  <c r="S360" i="5"/>
  <c r="T360" i="5"/>
  <c r="U360" i="5"/>
  <c r="V360" i="5"/>
  <c r="W360" i="5"/>
  <c r="R361" i="5"/>
  <c r="S361" i="5"/>
  <c r="T361" i="5"/>
  <c r="U361" i="5"/>
  <c r="V361" i="5"/>
  <c r="W361" i="5"/>
  <c r="R362" i="5"/>
  <c r="S362" i="5"/>
  <c r="T362" i="5"/>
  <c r="U362" i="5"/>
  <c r="V362" i="5"/>
  <c r="W362" i="5"/>
  <c r="R363" i="5"/>
  <c r="S363" i="5"/>
  <c r="T363" i="5"/>
  <c r="U363" i="5"/>
  <c r="V363" i="5"/>
  <c r="W363" i="5"/>
  <c r="R364" i="5"/>
  <c r="S364" i="5"/>
  <c r="T364" i="5"/>
  <c r="U364" i="5"/>
  <c r="V364" i="5"/>
  <c r="W364" i="5"/>
  <c r="R365" i="5"/>
  <c r="S365" i="5"/>
  <c r="T365" i="5"/>
  <c r="U365" i="5"/>
  <c r="V365" i="5"/>
  <c r="W365" i="5"/>
  <c r="R366" i="5"/>
  <c r="S366" i="5"/>
  <c r="T366" i="5"/>
  <c r="U366" i="5"/>
  <c r="V366" i="5"/>
  <c r="W366" i="5"/>
  <c r="R367" i="5"/>
  <c r="S367" i="5"/>
  <c r="T367" i="5"/>
  <c r="U367" i="5"/>
  <c r="V367" i="5"/>
  <c r="W367" i="5"/>
  <c r="R368" i="5"/>
  <c r="S368" i="5"/>
  <c r="T368" i="5"/>
  <c r="U368" i="5"/>
  <c r="V368" i="5"/>
  <c r="W368" i="5"/>
  <c r="R369" i="5"/>
  <c r="S369" i="5"/>
  <c r="T369" i="5"/>
  <c r="U369" i="5"/>
  <c r="V369" i="5"/>
  <c r="W369" i="5"/>
  <c r="R370" i="5"/>
  <c r="S370" i="5"/>
  <c r="T370" i="5"/>
  <c r="U370" i="5"/>
  <c r="V370" i="5"/>
  <c r="W370" i="5"/>
  <c r="R371" i="5"/>
  <c r="S371" i="5"/>
  <c r="T371" i="5"/>
  <c r="U371" i="5"/>
  <c r="V371" i="5"/>
  <c r="W371" i="5"/>
  <c r="R372" i="5"/>
  <c r="S372" i="5"/>
  <c r="T372" i="5"/>
  <c r="U372" i="5"/>
  <c r="V372" i="5"/>
  <c r="W372" i="5"/>
  <c r="R373" i="5"/>
  <c r="S373" i="5"/>
  <c r="T373" i="5"/>
  <c r="U373" i="5"/>
  <c r="V373" i="5"/>
  <c r="W373" i="5"/>
  <c r="R374" i="5"/>
  <c r="S374" i="5"/>
  <c r="T374" i="5"/>
  <c r="U374" i="5"/>
  <c r="V374" i="5"/>
  <c r="W374" i="5"/>
  <c r="R375" i="5"/>
  <c r="S375" i="5"/>
  <c r="T375" i="5"/>
  <c r="U375" i="5"/>
  <c r="V375" i="5"/>
  <c r="W375" i="5"/>
  <c r="R376" i="5"/>
  <c r="S376" i="5"/>
  <c r="T376" i="5"/>
  <c r="U376" i="5"/>
  <c r="V376" i="5"/>
  <c r="W376" i="5"/>
  <c r="R377" i="5"/>
  <c r="S377" i="5"/>
  <c r="T377" i="5"/>
  <c r="U377" i="5"/>
  <c r="V377" i="5"/>
  <c r="W377" i="5"/>
  <c r="R378" i="5"/>
  <c r="S378" i="5"/>
  <c r="T378" i="5"/>
  <c r="U378" i="5"/>
  <c r="V378" i="5"/>
  <c r="W378" i="5"/>
  <c r="R379" i="5"/>
  <c r="S379" i="5"/>
  <c r="T379" i="5"/>
  <c r="U379" i="5"/>
  <c r="V379" i="5"/>
  <c r="W379" i="5"/>
  <c r="R380" i="5"/>
  <c r="S380" i="5"/>
  <c r="T380" i="5"/>
  <c r="U380" i="5"/>
  <c r="V380" i="5"/>
  <c r="W380" i="5"/>
  <c r="R381" i="5"/>
  <c r="S381" i="5"/>
  <c r="T381" i="5"/>
  <c r="U381" i="5"/>
  <c r="V381" i="5"/>
  <c r="W381" i="5"/>
  <c r="R382" i="5"/>
  <c r="S382" i="5"/>
  <c r="T382" i="5"/>
  <c r="U382" i="5"/>
  <c r="V382" i="5"/>
  <c r="W382" i="5"/>
  <c r="R383" i="5"/>
  <c r="S383" i="5"/>
  <c r="T383" i="5"/>
  <c r="U383" i="5"/>
  <c r="V383" i="5"/>
  <c r="W383" i="5"/>
  <c r="R384" i="5"/>
  <c r="S384" i="5"/>
  <c r="T384" i="5"/>
  <c r="U384" i="5"/>
  <c r="V384" i="5"/>
  <c r="W384" i="5"/>
  <c r="R385" i="5"/>
  <c r="S385" i="5"/>
  <c r="T385" i="5"/>
  <c r="U385" i="5"/>
  <c r="V385" i="5"/>
  <c r="W385" i="5"/>
  <c r="R386" i="5"/>
  <c r="S386" i="5"/>
  <c r="T386" i="5"/>
  <c r="U386" i="5"/>
  <c r="V386" i="5"/>
  <c r="W386" i="5"/>
  <c r="R387" i="5"/>
  <c r="S387" i="5"/>
  <c r="T387" i="5"/>
  <c r="U387" i="5"/>
  <c r="V387" i="5"/>
  <c r="W387" i="5"/>
  <c r="R388" i="5"/>
  <c r="S388" i="5"/>
  <c r="T388" i="5"/>
  <c r="U388" i="5"/>
  <c r="V388" i="5"/>
  <c r="W388" i="5"/>
  <c r="R389" i="5"/>
  <c r="S389" i="5"/>
  <c r="T389" i="5"/>
  <c r="U389" i="5"/>
  <c r="V389" i="5"/>
  <c r="W389" i="5"/>
  <c r="R390" i="5"/>
  <c r="S390" i="5"/>
  <c r="T390" i="5"/>
  <c r="U390" i="5"/>
  <c r="V390" i="5"/>
  <c r="W390" i="5"/>
  <c r="R391" i="5"/>
  <c r="S391" i="5"/>
  <c r="T391" i="5"/>
  <c r="U391" i="5"/>
  <c r="V391" i="5"/>
  <c r="W391" i="5"/>
  <c r="R392" i="5"/>
  <c r="S392" i="5"/>
  <c r="T392" i="5"/>
  <c r="U392" i="5"/>
  <c r="V392" i="5"/>
  <c r="W392" i="5"/>
  <c r="R393" i="5"/>
  <c r="S393" i="5"/>
  <c r="T393" i="5"/>
  <c r="U393" i="5"/>
  <c r="V393" i="5"/>
  <c r="W393" i="5"/>
  <c r="R394" i="5"/>
  <c r="S394" i="5"/>
  <c r="T394" i="5"/>
  <c r="U394" i="5"/>
  <c r="V394" i="5"/>
  <c r="W394" i="5"/>
  <c r="R395" i="5"/>
  <c r="S395" i="5"/>
  <c r="T395" i="5"/>
  <c r="U395" i="5"/>
  <c r="V395" i="5"/>
  <c r="W395" i="5"/>
  <c r="R396" i="5"/>
  <c r="S396" i="5"/>
  <c r="T396" i="5"/>
  <c r="U396" i="5"/>
  <c r="V396" i="5"/>
  <c r="W396" i="5"/>
  <c r="R397" i="5"/>
  <c r="S397" i="5"/>
  <c r="T397" i="5"/>
  <c r="U397" i="5"/>
  <c r="V397" i="5"/>
  <c r="W397" i="5"/>
  <c r="R398" i="5"/>
  <c r="S398" i="5"/>
  <c r="T398" i="5"/>
  <c r="U398" i="5"/>
  <c r="V398" i="5"/>
  <c r="W398" i="5"/>
  <c r="R399" i="5"/>
  <c r="S399" i="5"/>
  <c r="T399" i="5"/>
  <c r="U399" i="5"/>
  <c r="V399" i="5"/>
  <c r="W399" i="5"/>
  <c r="R400" i="5"/>
  <c r="S400" i="5"/>
  <c r="T400" i="5"/>
  <c r="U400" i="5"/>
  <c r="V400" i="5"/>
  <c r="W400" i="5"/>
  <c r="R401" i="5"/>
  <c r="S401" i="5"/>
  <c r="T401" i="5"/>
  <c r="U401" i="5"/>
  <c r="V401" i="5"/>
  <c r="W401" i="5"/>
  <c r="R402" i="5"/>
  <c r="S402" i="5"/>
  <c r="T402" i="5"/>
  <c r="U402" i="5"/>
  <c r="V402" i="5"/>
  <c r="W402" i="5"/>
  <c r="R403" i="5"/>
  <c r="S403" i="5"/>
  <c r="T403" i="5"/>
  <c r="U403" i="5"/>
  <c r="V403" i="5"/>
  <c r="W403" i="5"/>
  <c r="R404" i="5"/>
  <c r="S404" i="5"/>
  <c r="T404" i="5"/>
  <c r="U404" i="5"/>
  <c r="V404" i="5"/>
  <c r="W404" i="5"/>
  <c r="R405" i="5"/>
  <c r="S405" i="5"/>
  <c r="T405" i="5"/>
  <c r="U405" i="5"/>
  <c r="V405" i="5"/>
  <c r="W405" i="5"/>
  <c r="R406" i="5"/>
  <c r="S406" i="5"/>
  <c r="T406" i="5"/>
  <c r="U406" i="5"/>
  <c r="V406" i="5"/>
  <c r="W406" i="5"/>
  <c r="R407" i="5"/>
  <c r="S407" i="5"/>
  <c r="T407" i="5"/>
  <c r="U407" i="5"/>
  <c r="V407" i="5"/>
  <c r="W407" i="5"/>
  <c r="R408" i="5"/>
  <c r="S408" i="5"/>
  <c r="T408" i="5"/>
  <c r="U408" i="5"/>
  <c r="V408" i="5"/>
  <c r="W408" i="5"/>
  <c r="R409" i="5"/>
  <c r="S409" i="5"/>
  <c r="T409" i="5"/>
  <c r="U409" i="5"/>
  <c r="V409" i="5"/>
  <c r="W409" i="5"/>
  <c r="R410" i="5"/>
  <c r="S410" i="5"/>
  <c r="T410" i="5"/>
  <c r="U410" i="5"/>
  <c r="V410" i="5"/>
  <c r="W410" i="5"/>
  <c r="R411" i="5"/>
  <c r="S411" i="5"/>
  <c r="T411" i="5"/>
  <c r="U411" i="5"/>
  <c r="V411" i="5"/>
  <c r="W411" i="5"/>
  <c r="R412" i="5"/>
  <c r="S412" i="5"/>
  <c r="T412" i="5"/>
  <c r="U412" i="5"/>
  <c r="V412" i="5"/>
  <c r="W412" i="5"/>
  <c r="R413" i="5"/>
  <c r="S413" i="5"/>
  <c r="T413" i="5"/>
  <c r="U413" i="5"/>
  <c r="V413" i="5"/>
  <c r="W413" i="5"/>
  <c r="R414" i="5"/>
  <c r="S414" i="5"/>
  <c r="T414" i="5"/>
  <c r="U414" i="5"/>
  <c r="V414" i="5"/>
  <c r="W414" i="5"/>
  <c r="R415" i="5"/>
  <c r="S415" i="5"/>
  <c r="T415" i="5"/>
  <c r="U415" i="5"/>
  <c r="V415" i="5"/>
  <c r="W415" i="5"/>
  <c r="R416" i="5"/>
  <c r="S416" i="5"/>
  <c r="T416" i="5"/>
  <c r="U416" i="5"/>
  <c r="V416" i="5"/>
  <c r="W416" i="5"/>
  <c r="R417" i="5"/>
  <c r="S417" i="5"/>
  <c r="T417" i="5"/>
  <c r="U417" i="5"/>
  <c r="V417" i="5"/>
  <c r="W417" i="5"/>
  <c r="R418" i="5"/>
  <c r="S418" i="5"/>
  <c r="T418" i="5"/>
  <c r="U418" i="5"/>
  <c r="V418" i="5"/>
  <c r="W418" i="5"/>
  <c r="R419" i="5"/>
  <c r="S419" i="5"/>
  <c r="T419" i="5"/>
  <c r="U419" i="5"/>
  <c r="V419" i="5"/>
  <c r="W419" i="5"/>
  <c r="R420" i="5"/>
  <c r="S420" i="5"/>
  <c r="T420" i="5"/>
  <c r="U420" i="5"/>
  <c r="V420" i="5"/>
  <c r="W420" i="5"/>
  <c r="R421" i="5"/>
  <c r="S421" i="5"/>
  <c r="T421" i="5"/>
  <c r="U421" i="5"/>
  <c r="V421" i="5"/>
  <c r="W421" i="5"/>
  <c r="R422" i="5"/>
  <c r="S422" i="5"/>
  <c r="T422" i="5"/>
  <c r="U422" i="5"/>
  <c r="V422" i="5"/>
  <c r="W422" i="5"/>
  <c r="R423" i="5"/>
  <c r="S423" i="5"/>
  <c r="T423" i="5"/>
  <c r="U423" i="5"/>
  <c r="V423" i="5"/>
  <c r="W423" i="5"/>
  <c r="R424" i="5"/>
  <c r="S424" i="5"/>
  <c r="T424" i="5"/>
  <c r="U424" i="5"/>
  <c r="V424" i="5"/>
  <c r="W424" i="5"/>
  <c r="R425" i="5"/>
  <c r="S425" i="5"/>
  <c r="T425" i="5"/>
  <c r="U425" i="5"/>
  <c r="V425" i="5"/>
  <c r="W425" i="5"/>
  <c r="R426" i="5"/>
  <c r="S426" i="5"/>
  <c r="T426" i="5"/>
  <c r="U426" i="5"/>
  <c r="V426" i="5"/>
  <c r="W426" i="5"/>
  <c r="R427" i="5"/>
  <c r="S427" i="5"/>
  <c r="T427" i="5"/>
  <c r="U427" i="5"/>
  <c r="V427" i="5"/>
  <c r="W427" i="5"/>
  <c r="R428" i="5"/>
  <c r="S428" i="5"/>
  <c r="T428" i="5"/>
  <c r="U428" i="5"/>
  <c r="V428" i="5"/>
  <c r="W428" i="5"/>
  <c r="R429" i="5"/>
  <c r="S429" i="5"/>
  <c r="T429" i="5"/>
  <c r="U429" i="5"/>
  <c r="V429" i="5"/>
  <c r="W429" i="5"/>
  <c r="R430" i="5"/>
  <c r="S430" i="5"/>
  <c r="T430" i="5"/>
  <c r="U430" i="5"/>
  <c r="V430" i="5"/>
  <c r="W430" i="5"/>
  <c r="R431" i="5"/>
  <c r="S431" i="5"/>
  <c r="T431" i="5"/>
  <c r="U431" i="5"/>
  <c r="V431" i="5"/>
  <c r="W431" i="5"/>
  <c r="R432" i="5"/>
  <c r="S432" i="5"/>
  <c r="T432" i="5"/>
  <c r="U432" i="5"/>
  <c r="V432" i="5"/>
  <c r="W432" i="5"/>
  <c r="R433" i="5"/>
  <c r="S433" i="5"/>
  <c r="T433" i="5"/>
  <c r="U433" i="5"/>
  <c r="V433" i="5"/>
  <c r="W433" i="5"/>
  <c r="R434" i="5"/>
  <c r="S434" i="5"/>
  <c r="T434" i="5"/>
  <c r="U434" i="5"/>
  <c r="V434" i="5"/>
  <c r="W434" i="5"/>
  <c r="R435" i="5"/>
  <c r="S435" i="5"/>
  <c r="T435" i="5"/>
  <c r="U435" i="5"/>
  <c r="V435" i="5"/>
  <c r="W435" i="5"/>
  <c r="R436" i="5"/>
  <c r="S436" i="5"/>
  <c r="T436" i="5"/>
  <c r="U436" i="5"/>
  <c r="V436" i="5"/>
  <c r="W436" i="5"/>
  <c r="R437" i="5"/>
  <c r="S437" i="5"/>
  <c r="T437" i="5"/>
  <c r="U437" i="5"/>
  <c r="V437" i="5"/>
  <c r="W437" i="5"/>
  <c r="R438" i="5"/>
  <c r="S438" i="5"/>
  <c r="T438" i="5"/>
  <c r="U438" i="5"/>
  <c r="V438" i="5"/>
  <c r="W438" i="5"/>
  <c r="R439" i="5"/>
  <c r="S439" i="5"/>
  <c r="T439" i="5"/>
  <c r="U439" i="5"/>
  <c r="V439" i="5"/>
  <c r="W439" i="5"/>
  <c r="R440" i="5"/>
  <c r="S440" i="5"/>
  <c r="T440" i="5"/>
  <c r="U440" i="5"/>
  <c r="V440" i="5"/>
  <c r="W440" i="5"/>
  <c r="R441" i="5"/>
  <c r="S441" i="5"/>
  <c r="T441" i="5"/>
  <c r="U441" i="5"/>
  <c r="V441" i="5"/>
  <c r="W441" i="5"/>
  <c r="R442" i="5"/>
  <c r="S442" i="5"/>
  <c r="T442" i="5"/>
  <c r="U442" i="5"/>
  <c r="V442" i="5"/>
  <c r="W442" i="5"/>
  <c r="R443" i="5"/>
  <c r="S443" i="5"/>
  <c r="T443" i="5"/>
  <c r="U443" i="5"/>
  <c r="V443" i="5"/>
  <c r="W443" i="5"/>
  <c r="R444" i="5"/>
  <c r="S444" i="5"/>
  <c r="T444" i="5"/>
  <c r="U444" i="5"/>
  <c r="V444" i="5"/>
  <c r="W444" i="5"/>
  <c r="R445" i="5"/>
  <c r="S445" i="5"/>
  <c r="T445" i="5"/>
  <c r="U445" i="5"/>
  <c r="V445" i="5"/>
  <c r="W445" i="5"/>
  <c r="R446" i="5"/>
  <c r="S446" i="5"/>
  <c r="T446" i="5"/>
  <c r="U446" i="5"/>
  <c r="V446" i="5"/>
  <c r="W446" i="5"/>
  <c r="R447" i="5"/>
  <c r="S447" i="5"/>
  <c r="T447" i="5"/>
  <c r="U447" i="5"/>
  <c r="V447" i="5"/>
  <c r="W447" i="5"/>
  <c r="R448" i="5"/>
  <c r="S448" i="5"/>
  <c r="T448" i="5"/>
  <c r="U448" i="5"/>
  <c r="V448" i="5"/>
  <c r="W448" i="5"/>
  <c r="R449" i="5"/>
  <c r="S449" i="5"/>
  <c r="T449" i="5"/>
  <c r="U449" i="5"/>
  <c r="V449" i="5"/>
  <c r="W449" i="5"/>
  <c r="R450" i="5"/>
  <c r="S450" i="5"/>
  <c r="T450" i="5"/>
  <c r="U450" i="5"/>
  <c r="V450" i="5"/>
  <c r="W450" i="5"/>
  <c r="R451" i="5"/>
  <c r="S451" i="5"/>
  <c r="T451" i="5"/>
  <c r="U451" i="5"/>
  <c r="V451" i="5"/>
  <c r="W451" i="5"/>
  <c r="R452" i="5"/>
  <c r="S452" i="5"/>
  <c r="T452" i="5"/>
  <c r="U452" i="5"/>
  <c r="V452" i="5"/>
  <c r="W452" i="5"/>
  <c r="R453" i="5"/>
  <c r="S453" i="5"/>
  <c r="T453" i="5"/>
  <c r="U453" i="5"/>
  <c r="V453" i="5"/>
  <c r="W453" i="5"/>
  <c r="R454" i="5"/>
  <c r="S454" i="5"/>
  <c r="T454" i="5"/>
  <c r="U454" i="5"/>
  <c r="V454" i="5"/>
  <c r="W454" i="5"/>
  <c r="R455" i="5"/>
  <c r="S455" i="5"/>
  <c r="T455" i="5"/>
  <c r="U455" i="5"/>
  <c r="V455" i="5"/>
  <c r="W455" i="5"/>
  <c r="R456" i="5"/>
  <c r="S456" i="5"/>
  <c r="T456" i="5"/>
  <c r="U456" i="5"/>
  <c r="V456" i="5"/>
  <c r="W456" i="5"/>
  <c r="R457" i="5"/>
  <c r="S457" i="5"/>
  <c r="T457" i="5"/>
  <c r="U457" i="5"/>
  <c r="V457" i="5"/>
  <c r="W457" i="5"/>
  <c r="R458" i="5"/>
  <c r="S458" i="5"/>
  <c r="T458" i="5"/>
  <c r="U458" i="5"/>
  <c r="V458" i="5"/>
  <c r="W458" i="5"/>
  <c r="R459" i="5"/>
  <c r="S459" i="5"/>
  <c r="T459" i="5"/>
  <c r="U459" i="5"/>
  <c r="V459" i="5"/>
  <c r="W459" i="5"/>
  <c r="R460" i="5"/>
  <c r="S460" i="5"/>
  <c r="T460" i="5"/>
  <c r="U460" i="5"/>
  <c r="V460" i="5"/>
  <c r="W460" i="5"/>
  <c r="R461" i="5"/>
  <c r="S461" i="5"/>
  <c r="T461" i="5"/>
  <c r="U461" i="5"/>
  <c r="V461" i="5"/>
  <c r="W461" i="5"/>
  <c r="R462" i="5"/>
  <c r="S462" i="5"/>
  <c r="T462" i="5"/>
  <c r="U462" i="5"/>
  <c r="V462" i="5"/>
  <c r="W462" i="5"/>
  <c r="R463" i="5"/>
  <c r="S463" i="5"/>
  <c r="T463" i="5"/>
  <c r="U463" i="5"/>
  <c r="V463" i="5"/>
  <c r="W463" i="5"/>
  <c r="R464" i="5"/>
  <c r="S464" i="5"/>
  <c r="T464" i="5"/>
  <c r="U464" i="5"/>
  <c r="V464" i="5"/>
  <c r="W464" i="5"/>
  <c r="R465" i="5"/>
  <c r="S465" i="5"/>
  <c r="T465" i="5"/>
  <c r="U465" i="5"/>
  <c r="V465" i="5"/>
  <c r="W465" i="5"/>
  <c r="R466" i="5"/>
  <c r="S466" i="5"/>
  <c r="T466" i="5"/>
  <c r="U466" i="5"/>
  <c r="V466" i="5"/>
  <c r="W466" i="5"/>
  <c r="R467" i="5"/>
  <c r="S467" i="5"/>
  <c r="T467" i="5"/>
  <c r="U467" i="5"/>
  <c r="V467" i="5"/>
  <c r="W467" i="5"/>
  <c r="R468" i="5"/>
  <c r="S468" i="5"/>
  <c r="T468" i="5"/>
  <c r="U468" i="5"/>
  <c r="V468" i="5"/>
  <c r="W468" i="5"/>
  <c r="R469" i="5"/>
  <c r="S469" i="5"/>
  <c r="T469" i="5"/>
  <c r="U469" i="5"/>
  <c r="V469" i="5"/>
  <c r="W469" i="5"/>
  <c r="R470" i="5"/>
  <c r="S470" i="5"/>
  <c r="T470" i="5"/>
  <c r="U470" i="5"/>
  <c r="V470" i="5"/>
  <c r="W470" i="5"/>
  <c r="R471" i="5"/>
  <c r="S471" i="5"/>
  <c r="T471" i="5"/>
  <c r="U471" i="5"/>
  <c r="V471" i="5"/>
  <c r="W471" i="5"/>
  <c r="R472" i="5"/>
  <c r="S472" i="5"/>
  <c r="T472" i="5"/>
  <c r="U472" i="5"/>
  <c r="V472" i="5"/>
  <c r="W472" i="5"/>
  <c r="R473" i="5"/>
  <c r="S473" i="5"/>
  <c r="T473" i="5"/>
  <c r="U473" i="5"/>
  <c r="V473" i="5"/>
  <c r="W473" i="5"/>
  <c r="R474" i="5"/>
  <c r="S474" i="5"/>
  <c r="T474" i="5"/>
  <c r="U474" i="5"/>
  <c r="V474" i="5"/>
  <c r="W474" i="5"/>
  <c r="R475" i="5"/>
  <c r="S475" i="5"/>
  <c r="T475" i="5"/>
  <c r="U475" i="5"/>
  <c r="V475" i="5"/>
  <c r="W475" i="5"/>
  <c r="R476" i="5"/>
  <c r="S476" i="5"/>
  <c r="T476" i="5"/>
  <c r="U476" i="5"/>
  <c r="V476" i="5"/>
  <c r="W476" i="5"/>
  <c r="R477" i="5"/>
  <c r="S477" i="5"/>
  <c r="T477" i="5"/>
  <c r="U477" i="5"/>
  <c r="V477" i="5"/>
  <c r="W477" i="5"/>
  <c r="R478" i="5"/>
  <c r="S478" i="5"/>
  <c r="T478" i="5"/>
  <c r="U478" i="5"/>
  <c r="V478" i="5"/>
  <c r="W478" i="5"/>
  <c r="R479" i="5"/>
  <c r="S479" i="5"/>
  <c r="T479" i="5"/>
  <c r="U479" i="5"/>
  <c r="V479" i="5"/>
  <c r="W479" i="5"/>
  <c r="R480" i="5"/>
  <c r="S480" i="5"/>
  <c r="T480" i="5"/>
  <c r="U480" i="5"/>
  <c r="V480" i="5"/>
  <c r="W480" i="5"/>
  <c r="R481" i="5"/>
  <c r="S481" i="5"/>
  <c r="T481" i="5"/>
  <c r="U481" i="5"/>
  <c r="V481" i="5"/>
  <c r="W481" i="5"/>
  <c r="R482" i="5"/>
  <c r="S482" i="5"/>
  <c r="T482" i="5"/>
  <c r="U482" i="5"/>
  <c r="V482" i="5"/>
  <c r="W482" i="5"/>
  <c r="R483" i="5"/>
  <c r="S483" i="5"/>
  <c r="T483" i="5"/>
  <c r="U483" i="5"/>
  <c r="V483" i="5"/>
  <c r="W483" i="5"/>
  <c r="T94" i="5"/>
  <c r="S94" i="5"/>
  <c r="R94" i="5"/>
  <c r="AM8" i="5"/>
  <c r="AL8" i="5"/>
  <c r="AJ8" i="5"/>
  <c r="AH9" i="5" l="1"/>
  <c r="L4" i="1"/>
  <c r="K5" i="1" s="1"/>
  <c r="L5" i="1" s="1"/>
  <c r="K6" i="1" s="1"/>
  <c r="L6" i="1" s="1"/>
  <c r="K7" i="1" s="1"/>
  <c r="L7" i="1" s="1"/>
  <c r="K8" i="1" s="1"/>
  <c r="N7" i="1"/>
  <c r="P12" i="1"/>
  <c r="P6" i="1"/>
  <c r="P15" i="1"/>
  <c r="P8" i="1"/>
  <c r="P29" i="1"/>
  <c r="P9" i="1"/>
  <c r="P33" i="1"/>
  <c r="M4" i="1"/>
  <c r="O4" i="1"/>
  <c r="P30" i="1"/>
  <c r="P25" i="1"/>
  <c r="P7" i="1"/>
  <c r="P11" i="1"/>
  <c r="P34" i="1"/>
  <c r="P19" i="1"/>
  <c r="P24" i="1"/>
  <c r="N5" i="1"/>
  <c r="P27" i="1"/>
  <c r="O6" i="1"/>
  <c r="N6" i="1"/>
  <c r="O7" i="1"/>
  <c r="P20" i="1"/>
  <c r="O5" i="1"/>
  <c r="P23" i="1"/>
  <c r="P16" i="1"/>
  <c r="P22" i="1"/>
  <c r="AJ9" i="5"/>
  <c r="P31" i="1"/>
  <c r="M6" i="1"/>
  <c r="P17" i="1"/>
  <c r="P5" i="1"/>
  <c r="N4" i="1"/>
  <c r="P32" i="1"/>
  <c r="P26" i="1"/>
  <c r="P10" i="1"/>
  <c r="P14" i="1"/>
  <c r="P4" i="1"/>
  <c r="P18" i="1"/>
  <c r="P28" i="1"/>
  <c r="P21" i="1"/>
  <c r="P13" i="1"/>
  <c r="M5" i="1"/>
  <c r="AI9" i="5" l="1"/>
  <c r="L8" i="1"/>
  <c r="O8" i="1"/>
  <c r="AL9" i="5"/>
  <c r="M7" i="1"/>
  <c r="M8" i="1"/>
  <c r="N8" i="1"/>
  <c r="AM9" i="5"/>
  <c r="AH10" i="5" l="1"/>
  <c r="K9" i="1"/>
  <c r="M9" i="1"/>
  <c r="AJ10" i="5"/>
  <c r="AI10" i="5" l="1"/>
  <c r="L9" i="1"/>
  <c r="AL10" i="5"/>
  <c r="AM10" i="5"/>
  <c r="O9" i="1"/>
  <c r="N9" i="1"/>
  <c r="AH11" i="5" l="1"/>
  <c r="K10" i="1"/>
  <c r="AJ11" i="5"/>
  <c r="M10" i="1"/>
  <c r="AI11" i="5" l="1"/>
  <c r="L10" i="1"/>
  <c r="AL11" i="5"/>
  <c r="N10" i="1"/>
  <c r="AM11" i="5"/>
  <c r="O10" i="1"/>
  <c r="AH12" i="5" l="1"/>
  <c r="K11" i="1"/>
  <c r="M11" i="1"/>
  <c r="AJ12" i="5"/>
  <c r="AI12" i="5" l="1"/>
  <c r="L11" i="1"/>
  <c r="AL12" i="5"/>
  <c r="AM12" i="5"/>
  <c r="N11" i="1"/>
  <c r="O11" i="1"/>
  <c r="AH13" i="5" l="1"/>
  <c r="K12" i="1"/>
  <c r="M12" i="1"/>
  <c r="AJ13" i="5"/>
  <c r="AI13" i="5" l="1"/>
  <c r="L12" i="1"/>
  <c r="AL13" i="5"/>
  <c r="AM13" i="5"/>
  <c r="N12" i="1"/>
  <c r="O12" i="1"/>
  <c r="AH14" i="5" l="1"/>
  <c r="K13" i="1"/>
  <c r="AJ14" i="5"/>
  <c r="M13" i="1"/>
  <c r="AI14" i="5" l="1"/>
  <c r="L13" i="1"/>
  <c r="AL14" i="5"/>
  <c r="AM14" i="5"/>
  <c r="N13" i="1"/>
  <c r="O13" i="1"/>
  <c r="AH15" i="5" l="1"/>
  <c r="K14" i="1"/>
  <c r="M14" i="1"/>
  <c r="AJ15" i="5"/>
  <c r="AI15" i="5" l="1"/>
  <c r="L14" i="1"/>
  <c r="AM15" i="5"/>
  <c r="N14" i="1"/>
  <c r="O14" i="1"/>
  <c r="AL15" i="5"/>
  <c r="AH16" i="5" l="1"/>
  <c r="K15" i="1"/>
  <c r="AJ16" i="5"/>
  <c r="M15" i="1"/>
  <c r="AI16" i="5" l="1"/>
  <c r="L15" i="1"/>
  <c r="AL16" i="5"/>
  <c r="AM16" i="5"/>
  <c r="N15" i="1"/>
  <c r="O15" i="1"/>
  <c r="AH17" i="5" l="1"/>
  <c r="K16" i="1"/>
  <c r="M16" i="1"/>
  <c r="AJ17" i="5"/>
  <c r="AI17" i="5" l="1"/>
  <c r="L16" i="1"/>
  <c r="AM17" i="5"/>
  <c r="AL17" i="5"/>
  <c r="N16" i="1"/>
  <c r="O16" i="1"/>
  <c r="AH18" i="5" l="1"/>
  <c r="K17" i="1"/>
  <c r="M17" i="1"/>
  <c r="AJ18" i="5"/>
  <c r="AI18" i="5" l="1"/>
  <c r="L17" i="1"/>
  <c r="AM18" i="5"/>
  <c r="O17" i="1"/>
  <c r="N17" i="1"/>
  <c r="AL18" i="5"/>
  <c r="AH19" i="5" l="1"/>
  <c r="K18" i="1"/>
  <c r="AJ19" i="5"/>
  <c r="M18" i="1"/>
  <c r="AI19" i="5" l="1"/>
  <c r="L18" i="1"/>
  <c r="AL19" i="5"/>
  <c r="AM19" i="5"/>
  <c r="N18" i="1"/>
  <c r="O18" i="1"/>
  <c r="K19" i="1" l="1"/>
  <c r="M19" i="1"/>
  <c r="L19" i="1" l="1"/>
  <c r="O19" i="1"/>
  <c r="N19" i="1"/>
  <c r="K20" i="1" l="1"/>
  <c r="M20" i="1"/>
  <c r="L20" i="1" l="1"/>
  <c r="O20" i="1"/>
  <c r="N20" i="1"/>
  <c r="K21" i="1" l="1"/>
  <c r="M21" i="1"/>
  <c r="L21" i="1" l="1"/>
  <c r="O21" i="1"/>
  <c r="N21" i="1"/>
  <c r="K22" i="1" l="1"/>
  <c r="M22" i="1"/>
  <c r="L22" i="1" l="1"/>
  <c r="O22" i="1"/>
  <c r="N22" i="1"/>
  <c r="K23" i="1" l="1"/>
  <c r="M23" i="1"/>
  <c r="L23" i="1" l="1"/>
  <c r="O23" i="1"/>
  <c r="N23" i="1"/>
  <c r="K24" i="1" l="1"/>
  <c r="M24" i="1"/>
  <c r="L24" i="1" l="1"/>
  <c r="O24" i="1"/>
  <c r="N24" i="1"/>
  <c r="K25" i="1" l="1"/>
  <c r="M25" i="1"/>
  <c r="L25" i="1" l="1"/>
  <c r="O25" i="1"/>
  <c r="N25" i="1"/>
  <c r="K26" i="1" l="1"/>
  <c r="M26" i="1"/>
  <c r="L26" i="1" l="1"/>
  <c r="O26" i="1"/>
  <c r="N26" i="1"/>
  <c r="K27" i="1" l="1"/>
  <c r="M27" i="1"/>
  <c r="L27" i="1" l="1"/>
  <c r="O27" i="1"/>
  <c r="N27" i="1"/>
  <c r="K28" i="1" l="1"/>
  <c r="M28" i="1"/>
  <c r="L28" i="1" l="1"/>
  <c r="O28" i="1"/>
  <c r="N28" i="1"/>
  <c r="K29" i="1" l="1"/>
  <c r="M29" i="1"/>
  <c r="L29" i="1" l="1"/>
  <c r="O29" i="1"/>
  <c r="N29" i="1"/>
  <c r="K30" i="1" l="1"/>
  <c r="M30" i="1"/>
  <c r="L30" i="1" l="1"/>
  <c r="O30" i="1"/>
  <c r="N30" i="1"/>
  <c r="K31" i="1" l="1"/>
  <c r="M31" i="1"/>
  <c r="L31" i="1" l="1"/>
  <c r="O31" i="1"/>
  <c r="N31" i="1"/>
  <c r="K32" i="1" l="1"/>
  <c r="M32" i="1"/>
  <c r="L32" i="1" l="1"/>
  <c r="O32" i="1"/>
  <c r="N32" i="1"/>
  <c r="K33" i="1" l="1"/>
  <c r="M33" i="1"/>
  <c r="L33" i="1" l="1"/>
  <c r="O33" i="1"/>
  <c r="N33" i="1"/>
  <c r="K34" i="1" l="1"/>
  <c r="M34" i="1"/>
  <c r="L34" i="1" l="1"/>
  <c r="O34" i="1"/>
  <c r="N34" i="1"/>
</calcChain>
</file>

<file path=xl/sharedStrings.xml><?xml version="1.0" encoding="utf-8"?>
<sst xmlns="http://schemas.openxmlformats.org/spreadsheetml/2006/main" count="51" uniqueCount="45">
  <si>
    <t>criblength</t>
  </si>
  <si>
    <t xml:space="preserve"> iteration</t>
  </si>
  <si>
    <t xml:space="preserve"> number of crib circles</t>
  </si>
  <si>
    <t xml:space="preserve"> min circle</t>
  </si>
  <si>
    <t xml:space="preserve"> max circle</t>
  </si>
  <si>
    <t>iterations</t>
  </si>
  <si>
    <t>Start index</t>
  </si>
  <si>
    <t>End index</t>
  </si>
  <si>
    <t>Criblength</t>
  </si>
  <si>
    <t>number of circles</t>
  </si>
  <si>
    <t xml:space="preserve"> average circle size</t>
  </si>
  <si>
    <t>Measurement data</t>
  </si>
  <si>
    <t>Settings</t>
  </si>
  <si>
    <t>Calculation</t>
  </si>
  <si>
    <t>average</t>
  </si>
  <si>
    <t>stdev</t>
  </si>
  <si>
    <t>Average crib circle length</t>
  </si>
  <si>
    <t>Average Average</t>
  </si>
  <si>
    <t>crib length</t>
  </si>
  <si>
    <t xml:space="preserve"> time (s)</t>
  </si>
  <si>
    <t xml:space="preserve"> number of circles</t>
  </si>
  <si>
    <t xml:space="preserve"> min circle size</t>
  </si>
  <si>
    <t xml:space="preserve"> max circle size</t>
  </si>
  <si>
    <t xml:space="preserve"> decrypts</t>
  </si>
  <si>
    <t xml:space="preserve"> candidates</t>
  </si>
  <si>
    <t xml:space="preserve"> valid candidates</t>
  </si>
  <si>
    <t xml:space="preserve"> solutions</t>
  </si>
  <si>
    <t>Iterations</t>
  </si>
  <si>
    <t>index min</t>
  </si>
  <si>
    <t>index max</t>
  </si>
  <si>
    <t xml:space="preserve"> overlap</t>
  </si>
  <si>
    <t xml:space="preserve"> passes</t>
  </si>
  <si>
    <t>Crib length</t>
  </si>
  <si>
    <t>pass</t>
  </si>
  <si>
    <t>time</t>
  </si>
  <si>
    <t>ave</t>
  </si>
  <si>
    <t>Overlap</t>
  </si>
  <si>
    <t xml:space="preserve"> initial Steckers</t>
  </si>
  <si>
    <t>Average</t>
  </si>
  <si>
    <t>?</t>
  </si>
  <si>
    <t xml:space="preserve"> final Steckers</t>
  </si>
  <si>
    <t>Solution</t>
  </si>
  <si>
    <t>1pass</t>
  </si>
  <si>
    <t>2pass</t>
  </si>
  <si>
    <t>3pass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</si>
</sst>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_-* #,##0.0_-;\-* #,##0.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3F3F7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C99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3" borderId="1" applyNumberFormat="0" applyAlignment="0" applyProtection="0"/>
  </cellStyleXfs>
  <cellXfs count="9">
    <xf numFmtId="0" fontId="0" fillId="0" borderId="0" xfId="0"/>
    <xf numFmtId="164" fontId="0" fillId="0" borderId="0" xfId="1" applyNumberFormat="1" applyFont="1"/>
    <xf numFmtId="0" fontId="2" fillId="0" borderId="0" xfId="0" applyFont="1"/>
    <xf numFmtId="164" fontId="2" fillId="0" borderId="0" xfId="1" applyNumberFormat="1" applyFont="1"/>
    <xf numFmtId="0" fontId="3" fillId="2" borderId="0" xfId="0" applyFont="1" applyFill="1"/>
    <xf numFmtId="164" fontId="3" fillId="2" borderId="0" xfId="1" applyNumberFormat="1" applyFont="1" applyFill="1"/>
    <xf numFmtId="0" fontId="0" fillId="2" borderId="0" xfId="0" applyFill="1"/>
    <xf numFmtId="9" fontId="0" fillId="0" borderId="0" xfId="2" applyFont="1"/>
    <xf numFmtId="0" fontId="4" fillId="3" borderId="1" xfId="3"/>
  </cellXfs>
  <cellStyles count="4">
    <cellStyle name="Comma" xfId="1" builtinId="3"/>
    <cellStyle name="Input" xfId="3" builtinId="20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6.xml"/><Relationship Id="rId3" Type="http://schemas.openxmlformats.org/officeDocument/2006/relationships/chartsheet" Target="chartsheets/sheet2.xml"/><Relationship Id="rId7" Type="http://schemas.openxmlformats.org/officeDocument/2006/relationships/chartsheet" Target="chartsheets/sheet5.xml"/><Relationship Id="rId12" Type="http://schemas.openxmlformats.org/officeDocument/2006/relationships/calcChain" Target="calcChain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4.xml"/><Relationship Id="rId11" Type="http://schemas.openxmlformats.org/officeDocument/2006/relationships/sharedStrings" Target="sharedStrings.xml"/><Relationship Id="rId5" Type="http://schemas.openxmlformats.org/officeDocument/2006/relationships/chartsheet" Target="chartsheets/sheet3.xml"/><Relationship Id="rId10" Type="http://schemas.openxmlformats.org/officeDocument/2006/relationships/styles" Target="styles.xml"/><Relationship Id="rId4" Type="http://schemas.openxmlformats.org/officeDocument/2006/relationships/worksheet" Target="worksheets/sheet2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Number of Circles vs Crib Length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Number of Circles</c:v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errBars>
            <c:errDir val="x"/>
            <c:errBarType val="both"/>
            <c:errValType val="fixedVal"/>
            <c:noEndCap val="0"/>
            <c:val val="0.1"/>
            <c:spPr>
              <a:noFill/>
              <a:ln w="9525">
                <a:solidFill>
                  <a:schemeClr val="lt1">
                    <a:lumMod val="50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cust"/>
            <c:noEndCap val="0"/>
            <c:plus>
              <c:numRef>
                <c:f>cribs!$O$4:$O$34</c:f>
                <c:numCache>
                  <c:formatCode>General</c:formatCode>
                  <c:ptCount val="31"/>
                  <c:pt idx="0">
                    <c:v>0.24973103811470745</c:v>
                  </c:pt>
                  <c:pt idx="1">
                    <c:v>0.30053715351876426</c:v>
                  </c:pt>
                  <c:pt idx="2">
                    <c:v>0.30053715351876426</c:v>
                  </c:pt>
                  <c:pt idx="3">
                    <c:v>0.49730456257407218</c:v>
                  </c:pt>
                  <c:pt idx="4">
                    <c:v>0.3407771005482389</c:v>
                  </c:pt>
                  <c:pt idx="5">
                    <c:v>0.55065942873214557</c:v>
                  </c:pt>
                  <c:pt idx="6">
                    <c:v>0.672021505032247</c:v>
                  </c:pt>
                  <c:pt idx="7">
                    <c:v>1.024432704276566</c:v>
                  </c:pt>
                  <c:pt idx="8">
                    <c:v>0.94356906511667782</c:v>
                  </c:pt>
                  <c:pt idx="9">
                    <c:v>0.73470058271146022</c:v>
                  </c:pt>
                  <c:pt idx="10">
                    <c:v>1.4569079055181526</c:v>
                  </c:pt>
                  <c:pt idx="11">
                    <c:v>1.531742980770529</c:v>
                  </c:pt>
                  <c:pt idx="12">
                    <c:v>2.8830240992730611</c:v>
                  </c:pt>
                  <c:pt idx="13">
                    <c:v>2.4678578931221224</c:v>
                  </c:pt>
                  <c:pt idx="14">
                    <c:v>3.6494218130948459</c:v>
                  </c:pt>
                  <c:pt idx="15">
                    <c:v>4.6294986839307048</c:v>
                  </c:pt>
                  <c:pt idx="16">
                    <c:v>6.3478046327776951</c:v>
                  </c:pt>
                  <c:pt idx="17">
                    <c:v>4.8613020955826363</c:v>
                  </c:pt>
                  <c:pt idx="18">
                    <c:v>18.612459695429255</c:v>
                  </c:pt>
                  <c:pt idx="19">
                    <c:v>14.678050323197649</c:v>
                  </c:pt>
                  <c:pt idx="20">
                    <c:v>19.953925422957415</c:v>
                  </c:pt>
                  <c:pt idx="21">
                    <c:v>23.197608330559952</c:v>
                  </c:pt>
                  <c:pt idx="22">
                    <c:v>36.235430887639559</c:v>
                  </c:pt>
                  <c:pt idx="23">
                    <c:v>43.509287106503237</c:v>
                  </c:pt>
                  <c:pt idx="24">
                    <c:v>47.569891987011218</c:v>
                  </c:pt>
                  <c:pt idx="25">
                    <c:v>290.76820018110499</c:v>
                  </c:pt>
                  <c:pt idx="26">
                    <c:v>150.67733095763322</c:v>
                  </c:pt>
                  <c:pt idx="27">
                    <c:v>247.58028566398895</c:v>
                  </c:pt>
                  <c:pt idx="28">
                    <c:v>195.80104011937209</c:v>
                  </c:pt>
                  <c:pt idx="29">
                    <c:v>444.1864884923221</c:v>
                  </c:pt>
                  <c:pt idx="30">
                    <c:v>432.99483817368707</c:v>
                  </c:pt>
                </c:numCache>
              </c:numRef>
            </c:plus>
            <c:minus>
              <c:numRef>
                <c:f>cribs!$O$4:$O$34</c:f>
                <c:numCache>
                  <c:formatCode>General</c:formatCode>
                  <c:ptCount val="31"/>
                  <c:pt idx="0">
                    <c:v>0.24973103811470745</c:v>
                  </c:pt>
                  <c:pt idx="1">
                    <c:v>0.30053715351876426</c:v>
                  </c:pt>
                  <c:pt idx="2">
                    <c:v>0.30053715351876426</c:v>
                  </c:pt>
                  <c:pt idx="3">
                    <c:v>0.49730456257407218</c:v>
                  </c:pt>
                  <c:pt idx="4">
                    <c:v>0.3407771005482389</c:v>
                  </c:pt>
                  <c:pt idx="5">
                    <c:v>0.55065942873214557</c:v>
                  </c:pt>
                  <c:pt idx="6">
                    <c:v>0.672021505032247</c:v>
                  </c:pt>
                  <c:pt idx="7">
                    <c:v>1.024432704276566</c:v>
                  </c:pt>
                  <c:pt idx="8">
                    <c:v>0.94356906511667782</c:v>
                  </c:pt>
                  <c:pt idx="9">
                    <c:v>0.73470058271146022</c:v>
                  </c:pt>
                  <c:pt idx="10">
                    <c:v>1.4569079055181526</c:v>
                  </c:pt>
                  <c:pt idx="11">
                    <c:v>1.531742980770529</c:v>
                  </c:pt>
                  <c:pt idx="12">
                    <c:v>2.8830240992730611</c:v>
                  </c:pt>
                  <c:pt idx="13">
                    <c:v>2.4678578931221224</c:v>
                  </c:pt>
                  <c:pt idx="14">
                    <c:v>3.6494218130948459</c:v>
                  </c:pt>
                  <c:pt idx="15">
                    <c:v>4.6294986839307048</c:v>
                  </c:pt>
                  <c:pt idx="16">
                    <c:v>6.3478046327776951</c:v>
                  </c:pt>
                  <c:pt idx="17">
                    <c:v>4.8613020955826363</c:v>
                  </c:pt>
                  <c:pt idx="18">
                    <c:v>18.612459695429255</c:v>
                  </c:pt>
                  <c:pt idx="19">
                    <c:v>14.678050323197649</c:v>
                  </c:pt>
                  <c:pt idx="20">
                    <c:v>19.953925422957415</c:v>
                  </c:pt>
                  <c:pt idx="21">
                    <c:v>23.197608330559952</c:v>
                  </c:pt>
                  <c:pt idx="22">
                    <c:v>36.235430887639559</c:v>
                  </c:pt>
                  <c:pt idx="23">
                    <c:v>43.509287106503237</c:v>
                  </c:pt>
                  <c:pt idx="24">
                    <c:v>47.569891987011218</c:v>
                  </c:pt>
                  <c:pt idx="25">
                    <c:v>290.76820018110499</c:v>
                  </c:pt>
                  <c:pt idx="26">
                    <c:v>150.67733095763322</c:v>
                  </c:pt>
                  <c:pt idx="27">
                    <c:v>247.58028566398895</c:v>
                  </c:pt>
                  <c:pt idx="28">
                    <c:v>195.80104011937209</c:v>
                  </c:pt>
                  <c:pt idx="29">
                    <c:v>444.1864884923221</c:v>
                  </c:pt>
                  <c:pt idx="30">
                    <c:v>432.99483817368707</c:v>
                  </c:pt>
                </c:numCache>
              </c:numRef>
            </c:minus>
            <c:spPr>
              <a:noFill/>
              <a:ln w="9525">
                <a:solidFill>
                  <a:schemeClr val="lt1">
                    <a:lumMod val="50000"/>
                  </a:schemeClr>
                </a:solidFill>
                <a:round/>
              </a:ln>
              <a:effectLst/>
            </c:spPr>
          </c:errBars>
          <c:xVal>
            <c:numRef>
              <c:f>cribs!$M$4:$M$34</c:f>
              <c:numCache>
                <c:formatCode>General</c:formatCode>
                <c:ptCount val="31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36</c:v>
                </c:pt>
              </c:numCache>
            </c:numRef>
          </c:xVal>
          <c:yVal>
            <c:numRef>
              <c:f>cribs!$N$4:$N$34</c:f>
              <c:numCache>
                <c:formatCode>_-* #,##0.0_-;\-* #,##0.0_-;_-* "-"??_-;_-@_-</c:formatCode>
                <c:ptCount val="31"/>
                <c:pt idx="0">
                  <c:v>6.4516129032258063E-2</c:v>
                </c:pt>
                <c:pt idx="1">
                  <c:v>9.6774193548387094E-2</c:v>
                </c:pt>
                <c:pt idx="2">
                  <c:v>9.6774193548387094E-2</c:v>
                </c:pt>
                <c:pt idx="3">
                  <c:v>0.22580645161290322</c:v>
                </c:pt>
                <c:pt idx="4">
                  <c:v>0.12903225806451613</c:v>
                </c:pt>
                <c:pt idx="5">
                  <c:v>0.35483870967741937</c:v>
                </c:pt>
                <c:pt idx="6">
                  <c:v>0.41935483870967744</c:v>
                </c:pt>
                <c:pt idx="7">
                  <c:v>0.87096774193548387</c:v>
                </c:pt>
                <c:pt idx="8">
                  <c:v>0.90322580645161288</c:v>
                </c:pt>
                <c:pt idx="9">
                  <c:v>0.83870967741935487</c:v>
                </c:pt>
                <c:pt idx="10">
                  <c:v>1.4516129032258065</c:v>
                </c:pt>
                <c:pt idx="11">
                  <c:v>1.2903225806451613</c:v>
                </c:pt>
                <c:pt idx="12">
                  <c:v>2.3870967741935485</c:v>
                </c:pt>
                <c:pt idx="13">
                  <c:v>2.903225806451613</c:v>
                </c:pt>
                <c:pt idx="14">
                  <c:v>4.419354838709677</c:v>
                </c:pt>
                <c:pt idx="15">
                  <c:v>5.032258064516129</c:v>
                </c:pt>
                <c:pt idx="16">
                  <c:v>7.193548387096774</c:v>
                </c:pt>
                <c:pt idx="17">
                  <c:v>7.967741935483871</c:v>
                </c:pt>
                <c:pt idx="18">
                  <c:v>16.903225806451612</c:v>
                </c:pt>
                <c:pt idx="19">
                  <c:v>17.387096774193548</c:v>
                </c:pt>
                <c:pt idx="20">
                  <c:v>19.677419354838708</c:v>
                </c:pt>
                <c:pt idx="21">
                  <c:v>35.935483870967744</c:v>
                </c:pt>
                <c:pt idx="22">
                  <c:v>42.838709677419352</c:v>
                </c:pt>
                <c:pt idx="23">
                  <c:v>49.483870967741936</c:v>
                </c:pt>
                <c:pt idx="24">
                  <c:v>72.193548387096769</c:v>
                </c:pt>
                <c:pt idx="25">
                  <c:v>153.70967741935485</c:v>
                </c:pt>
                <c:pt idx="26">
                  <c:v>160.51612903225808</c:v>
                </c:pt>
                <c:pt idx="27">
                  <c:v>264.74193548387098</c:v>
                </c:pt>
                <c:pt idx="28">
                  <c:v>286.77419354838707</c:v>
                </c:pt>
                <c:pt idx="29">
                  <c:v>494.35483870967744</c:v>
                </c:pt>
                <c:pt idx="30">
                  <c:v>562.56666666666672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643907424"/>
        <c:axId val="-1643914496"/>
      </c:scatterChart>
      <c:valAx>
        <c:axId val="-16439074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Crib Length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-1643914496"/>
        <c:crosses val="autoZero"/>
        <c:crossBetween val="midCat"/>
      </c:valAx>
      <c:valAx>
        <c:axId val="-1643914496"/>
        <c:scaling>
          <c:orientation val="minMax"/>
          <c:max val="1000"/>
          <c:min val="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Cribs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_-* #,##0.0_-;\-* #,##0.0_-;_-* &quot;-&quot;??_-;_-@_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-16439074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Average Circle length vs Crib Length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Circle length</c:v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cribs!$M$4:$M$34</c:f>
              <c:numCache>
                <c:formatCode>General</c:formatCode>
                <c:ptCount val="31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36</c:v>
                </c:pt>
              </c:numCache>
            </c:numRef>
          </c:xVal>
          <c:yVal>
            <c:numRef>
              <c:f>cribs!$P$4:$P$34</c:f>
              <c:numCache>
                <c:formatCode>General</c:formatCode>
                <c:ptCount val="31"/>
                <c:pt idx="0">
                  <c:v>0.12903225806451613</c:v>
                </c:pt>
                <c:pt idx="1">
                  <c:v>0.22580645161290322</c:v>
                </c:pt>
                <c:pt idx="2">
                  <c:v>0.19354838709677419</c:v>
                </c:pt>
                <c:pt idx="3">
                  <c:v>0.45161290322580644</c:v>
                </c:pt>
                <c:pt idx="4">
                  <c:v>0.32258064516129031</c:v>
                </c:pt>
                <c:pt idx="5">
                  <c:v>0.79032258064516125</c:v>
                </c:pt>
                <c:pt idx="6">
                  <c:v>0.97849461290322581</c:v>
                </c:pt>
                <c:pt idx="7">
                  <c:v>1.3440860322580643</c:v>
                </c:pt>
                <c:pt idx="8">
                  <c:v>1.6559139677419354</c:v>
                </c:pt>
                <c:pt idx="9">
                  <c:v>2.2043010645161289</c:v>
                </c:pt>
                <c:pt idx="10">
                  <c:v>2.1720429999999999</c:v>
                </c:pt>
                <c:pt idx="11">
                  <c:v>2.3294931290322585</c:v>
                </c:pt>
                <c:pt idx="12">
                  <c:v>3.0889784838709677</c:v>
                </c:pt>
                <c:pt idx="13">
                  <c:v>3.3811060322580646</c:v>
                </c:pt>
                <c:pt idx="14">
                  <c:v>3.6806835483870968</c:v>
                </c:pt>
                <c:pt idx="15">
                  <c:v>3.9686053225806455</c:v>
                </c:pt>
                <c:pt idx="16">
                  <c:v>4.5291928387096778</c:v>
                </c:pt>
                <c:pt idx="17">
                  <c:v>5.0954175806451634</c:v>
                </c:pt>
                <c:pt idx="18">
                  <c:v>5.2335838064516125</c:v>
                </c:pt>
                <c:pt idx="19">
                  <c:v>6.0199504193548394</c:v>
                </c:pt>
                <c:pt idx="20">
                  <c:v>6.5493881935483858</c:v>
                </c:pt>
                <c:pt idx="21">
                  <c:v>6.6495108387096771</c:v>
                </c:pt>
                <c:pt idx="22">
                  <c:v>7.0705140645161304</c:v>
                </c:pt>
                <c:pt idx="23">
                  <c:v>7.3777834193548397</c:v>
                </c:pt>
                <c:pt idx="24">
                  <c:v>7.4999285483870972</c:v>
                </c:pt>
                <c:pt idx="25">
                  <c:v>7.9983645161290315</c:v>
                </c:pt>
                <c:pt idx="26">
                  <c:v>8.1860559032258067</c:v>
                </c:pt>
                <c:pt idx="27">
                  <c:v>8.8046712903225792</c:v>
                </c:pt>
                <c:pt idx="28">
                  <c:v>9.4207858064516135</c:v>
                </c:pt>
                <c:pt idx="29">
                  <c:v>9.6559656451612881</c:v>
                </c:pt>
                <c:pt idx="30">
                  <c:v>10.076264633333333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643906336"/>
        <c:axId val="-1643915584"/>
      </c:scatterChart>
      <c:valAx>
        <c:axId val="-16439063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Crib Length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-1643915584"/>
        <c:crosses val="autoZero"/>
        <c:crossBetween val="midCat"/>
      </c:valAx>
      <c:valAx>
        <c:axId val="-1643915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crib circle length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-16439063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Bombe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'Bombe data'!$AJ$5:$AJ$20</c:f>
              <c:numCache>
                <c:formatCode>General</c:formatCode>
                <c:ptCount val="16"/>
                <c:pt idx="0">
                  <c:v>21</c:v>
                </c:pt>
                <c:pt idx="1">
                  <c:v>22</c:v>
                </c:pt>
                <c:pt idx="2">
                  <c:v>23</c:v>
                </c:pt>
                <c:pt idx="3">
                  <c:v>24</c:v>
                </c:pt>
                <c:pt idx="4">
                  <c:v>25</c:v>
                </c:pt>
                <c:pt idx="5">
                  <c:v>26</c:v>
                </c:pt>
                <c:pt idx="6">
                  <c:v>27</c:v>
                </c:pt>
                <c:pt idx="7">
                  <c:v>28</c:v>
                </c:pt>
                <c:pt idx="8">
                  <c:v>29</c:v>
                </c:pt>
                <c:pt idx="9">
                  <c:v>30</c:v>
                </c:pt>
                <c:pt idx="10">
                  <c:v>31</c:v>
                </c:pt>
                <c:pt idx="11">
                  <c:v>32</c:v>
                </c:pt>
                <c:pt idx="12">
                  <c:v>33</c:v>
                </c:pt>
                <c:pt idx="13">
                  <c:v>34</c:v>
                </c:pt>
                <c:pt idx="14">
                  <c:v>35</c:v>
                </c:pt>
              </c:numCache>
            </c:numRef>
          </c:xVal>
          <c:yVal>
            <c:numRef>
              <c:f>'Bombe data'!$AK$5:$AK$20</c:f>
              <c:numCache>
                <c:formatCode>_-* #,##0.0_-;\-* #,##0.0_-;_-* "-"??_-;_-@_-</c:formatCode>
                <c:ptCount val="16"/>
                <c:pt idx="0">
                  <c:v>134.70833333333334</c:v>
                </c:pt>
                <c:pt idx="1">
                  <c:v>34.149999999999991</c:v>
                </c:pt>
                <c:pt idx="2">
                  <c:v>60.732000000000006</c:v>
                </c:pt>
                <c:pt idx="3">
                  <c:v>138.37407407407409</c:v>
                </c:pt>
                <c:pt idx="4">
                  <c:v>29.379166666666674</c:v>
                </c:pt>
                <c:pt idx="5">
                  <c:v>45.2</c:v>
                </c:pt>
                <c:pt idx="6">
                  <c:v>31.645833333333339</c:v>
                </c:pt>
                <c:pt idx="7">
                  <c:v>35.128571428571426</c:v>
                </c:pt>
                <c:pt idx="8">
                  <c:v>40.170370370370364</c:v>
                </c:pt>
                <c:pt idx="9">
                  <c:v>36.672000000000004</c:v>
                </c:pt>
                <c:pt idx="10">
                  <c:v>34.176000000000002</c:v>
                </c:pt>
                <c:pt idx="11">
                  <c:v>37.658620689655166</c:v>
                </c:pt>
                <c:pt idx="12">
                  <c:v>37.357692307692304</c:v>
                </c:pt>
                <c:pt idx="13">
                  <c:v>38.464285714285708</c:v>
                </c:pt>
                <c:pt idx="14">
                  <c:v>37.996153846153845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643916672"/>
        <c:axId val="-1643917216"/>
      </c:scatterChart>
      <c:valAx>
        <c:axId val="-1643916672"/>
        <c:scaling>
          <c:orientation val="minMax"/>
          <c:max val="35"/>
          <c:min val="20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Crib Length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-1643917216"/>
        <c:crosses val="autoZero"/>
        <c:crossBetween val="midCat"/>
      </c:valAx>
      <c:valAx>
        <c:axId val="-1643917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Tme (s)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_-* #,##0.0_-;\-* #,##0.0_-;_-* &quot;-&quot;??_-;_-@_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-16439166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Solution</a:t>
            </a:r>
            <a:r>
              <a:rPr lang="nl-NL" baseline="0"/>
              <a:t> &amp; </a:t>
            </a:r>
            <a:r>
              <a:rPr lang="nl-NL"/>
              <a:t>Overlap found - plain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Overlap</c:v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'Bombe data'!$AJ$5:$AJ$20</c:f>
              <c:numCache>
                <c:formatCode>General</c:formatCode>
                <c:ptCount val="16"/>
                <c:pt idx="0">
                  <c:v>21</c:v>
                </c:pt>
                <c:pt idx="1">
                  <c:v>22</c:v>
                </c:pt>
                <c:pt idx="2">
                  <c:v>23</c:v>
                </c:pt>
                <c:pt idx="3">
                  <c:v>24</c:v>
                </c:pt>
                <c:pt idx="4">
                  <c:v>25</c:v>
                </c:pt>
                <c:pt idx="5">
                  <c:v>26</c:v>
                </c:pt>
                <c:pt idx="6">
                  <c:v>27</c:v>
                </c:pt>
                <c:pt idx="7">
                  <c:v>28</c:v>
                </c:pt>
                <c:pt idx="8">
                  <c:v>29</c:v>
                </c:pt>
                <c:pt idx="9">
                  <c:v>30</c:v>
                </c:pt>
                <c:pt idx="10">
                  <c:v>31</c:v>
                </c:pt>
                <c:pt idx="11">
                  <c:v>32</c:v>
                </c:pt>
                <c:pt idx="12">
                  <c:v>33</c:v>
                </c:pt>
                <c:pt idx="13">
                  <c:v>34</c:v>
                </c:pt>
                <c:pt idx="14">
                  <c:v>35</c:v>
                </c:pt>
              </c:numCache>
            </c:numRef>
          </c:xVal>
          <c:yVal>
            <c:numRef>
              <c:f>'Bombe data'!$AO$5:$AO$20</c:f>
              <c:numCache>
                <c:formatCode>0%</c:formatCode>
                <c:ptCount val="16"/>
                <c:pt idx="0">
                  <c:v>0.82416666666666671</c:v>
                </c:pt>
                <c:pt idx="1">
                  <c:v>0.89249999999999996</c:v>
                </c:pt>
                <c:pt idx="2">
                  <c:v>0.89222222222222225</c:v>
                </c:pt>
                <c:pt idx="3">
                  <c:v>0.875</c:v>
                </c:pt>
                <c:pt idx="4">
                  <c:v>0.8876666666666666</c:v>
                </c:pt>
                <c:pt idx="5">
                  <c:v>0.94034482758620686</c:v>
                </c:pt>
                <c:pt idx="6">
                  <c:v>0.87206896551724133</c:v>
                </c:pt>
                <c:pt idx="7">
                  <c:v>0.93433333333333335</c:v>
                </c:pt>
                <c:pt idx="8">
                  <c:v>0.92966666666666664</c:v>
                </c:pt>
                <c:pt idx="9">
                  <c:v>0.86433333333333329</c:v>
                </c:pt>
                <c:pt idx="10">
                  <c:v>0.90866666666666673</c:v>
                </c:pt>
                <c:pt idx="11">
                  <c:v>0.91300000000000003</c:v>
                </c:pt>
                <c:pt idx="12">
                  <c:v>0.91966666666666663</c:v>
                </c:pt>
                <c:pt idx="13">
                  <c:v>0.94133333333333324</c:v>
                </c:pt>
                <c:pt idx="14">
                  <c:v>0.95733333333333326</c:v>
                </c:pt>
              </c:numCache>
            </c:numRef>
          </c:yVal>
          <c:smooth val="0"/>
        </c:ser>
        <c:ser>
          <c:idx val="1"/>
          <c:order val="1"/>
          <c:tx>
            <c:v>Solution</c:v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'Bombe data'!$AJ$5:$AJ$19</c:f>
              <c:numCache>
                <c:formatCode>General</c:formatCode>
                <c:ptCount val="15"/>
                <c:pt idx="0">
                  <c:v>21</c:v>
                </c:pt>
                <c:pt idx="1">
                  <c:v>22</c:v>
                </c:pt>
                <c:pt idx="2">
                  <c:v>23</c:v>
                </c:pt>
                <c:pt idx="3">
                  <c:v>24</c:v>
                </c:pt>
                <c:pt idx="4">
                  <c:v>25</c:v>
                </c:pt>
                <c:pt idx="5">
                  <c:v>26</c:v>
                </c:pt>
                <c:pt idx="6">
                  <c:v>27</c:v>
                </c:pt>
                <c:pt idx="7">
                  <c:v>28</c:v>
                </c:pt>
                <c:pt idx="8">
                  <c:v>29</c:v>
                </c:pt>
                <c:pt idx="9">
                  <c:v>30</c:v>
                </c:pt>
                <c:pt idx="10">
                  <c:v>31</c:v>
                </c:pt>
                <c:pt idx="11">
                  <c:v>32</c:v>
                </c:pt>
                <c:pt idx="12">
                  <c:v>33</c:v>
                </c:pt>
                <c:pt idx="13">
                  <c:v>34</c:v>
                </c:pt>
                <c:pt idx="14">
                  <c:v>35</c:v>
                </c:pt>
              </c:numCache>
            </c:numRef>
          </c:xVal>
          <c:yVal>
            <c:numRef>
              <c:f>'Bombe data'!$AN$5:$AN$19</c:f>
              <c:numCache>
                <c:formatCode>0%</c:formatCode>
                <c:ptCount val="15"/>
                <c:pt idx="0">
                  <c:v>0.8</c:v>
                </c:pt>
                <c:pt idx="1">
                  <c:v>0.93333333333333335</c:v>
                </c:pt>
                <c:pt idx="2">
                  <c:v>0.9</c:v>
                </c:pt>
                <c:pt idx="3">
                  <c:v>1</c:v>
                </c:pt>
                <c:pt idx="4">
                  <c:v>1</c:v>
                </c:pt>
                <c:pt idx="5">
                  <c:v>0.96666666666666667</c:v>
                </c:pt>
                <c:pt idx="6">
                  <c:v>0.96666666666666667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643905248"/>
        <c:axId val="-1643912320"/>
      </c:scatterChart>
      <c:valAx>
        <c:axId val="-1643905248"/>
        <c:scaling>
          <c:orientation val="minMax"/>
          <c:max val="35"/>
          <c:min val="20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Crib Length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-1643912320"/>
        <c:crosses val="autoZero"/>
        <c:crossBetween val="midCat"/>
      </c:valAx>
      <c:valAx>
        <c:axId val="-1643912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Overlap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-16439052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Number of crib circle solutions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Candidates</c:v>
          </c:tx>
          <c:spPr>
            <a:ln w="25400" cap="rnd">
              <a:noFill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'Bombe data'!$A$5:$A$483</c:f>
              <c:numCache>
                <c:formatCode>General</c:formatCode>
                <c:ptCount val="47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21</c:v>
                </c:pt>
                <c:pt idx="30">
                  <c:v>21</c:v>
                </c:pt>
                <c:pt idx="31">
                  <c:v>21</c:v>
                </c:pt>
                <c:pt idx="32">
                  <c:v>21</c:v>
                </c:pt>
                <c:pt idx="33">
                  <c:v>21</c:v>
                </c:pt>
                <c:pt idx="34">
                  <c:v>21</c:v>
                </c:pt>
                <c:pt idx="35">
                  <c:v>21</c:v>
                </c:pt>
                <c:pt idx="36">
                  <c:v>21</c:v>
                </c:pt>
                <c:pt idx="37">
                  <c:v>21</c:v>
                </c:pt>
                <c:pt idx="38">
                  <c:v>21</c:v>
                </c:pt>
                <c:pt idx="39">
                  <c:v>21</c:v>
                </c:pt>
                <c:pt idx="40">
                  <c:v>21</c:v>
                </c:pt>
                <c:pt idx="41">
                  <c:v>21</c:v>
                </c:pt>
                <c:pt idx="42">
                  <c:v>21</c:v>
                </c:pt>
                <c:pt idx="43">
                  <c:v>21</c:v>
                </c:pt>
                <c:pt idx="44">
                  <c:v>21</c:v>
                </c:pt>
                <c:pt idx="45">
                  <c:v>21</c:v>
                </c:pt>
                <c:pt idx="46">
                  <c:v>21</c:v>
                </c:pt>
                <c:pt idx="47">
                  <c:v>21</c:v>
                </c:pt>
                <c:pt idx="48">
                  <c:v>21</c:v>
                </c:pt>
                <c:pt idx="49">
                  <c:v>21</c:v>
                </c:pt>
                <c:pt idx="50">
                  <c:v>21</c:v>
                </c:pt>
                <c:pt idx="51">
                  <c:v>21</c:v>
                </c:pt>
                <c:pt idx="52">
                  <c:v>21</c:v>
                </c:pt>
                <c:pt idx="53">
                  <c:v>21</c:v>
                </c:pt>
                <c:pt idx="54">
                  <c:v>21</c:v>
                </c:pt>
                <c:pt idx="55">
                  <c:v>21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22</c:v>
                </c:pt>
                <c:pt idx="60">
                  <c:v>22</c:v>
                </c:pt>
                <c:pt idx="61">
                  <c:v>22</c:v>
                </c:pt>
                <c:pt idx="62">
                  <c:v>22</c:v>
                </c:pt>
                <c:pt idx="63">
                  <c:v>22</c:v>
                </c:pt>
                <c:pt idx="64">
                  <c:v>22</c:v>
                </c:pt>
                <c:pt idx="65">
                  <c:v>22</c:v>
                </c:pt>
                <c:pt idx="66">
                  <c:v>22</c:v>
                </c:pt>
                <c:pt idx="67">
                  <c:v>22</c:v>
                </c:pt>
                <c:pt idx="68">
                  <c:v>22</c:v>
                </c:pt>
                <c:pt idx="69">
                  <c:v>22</c:v>
                </c:pt>
                <c:pt idx="70">
                  <c:v>22</c:v>
                </c:pt>
                <c:pt idx="71">
                  <c:v>22</c:v>
                </c:pt>
                <c:pt idx="72">
                  <c:v>22</c:v>
                </c:pt>
                <c:pt idx="73">
                  <c:v>22</c:v>
                </c:pt>
                <c:pt idx="74">
                  <c:v>22</c:v>
                </c:pt>
                <c:pt idx="75">
                  <c:v>22</c:v>
                </c:pt>
                <c:pt idx="76">
                  <c:v>22</c:v>
                </c:pt>
                <c:pt idx="77">
                  <c:v>22</c:v>
                </c:pt>
                <c:pt idx="78">
                  <c:v>22</c:v>
                </c:pt>
                <c:pt idx="79">
                  <c:v>22</c:v>
                </c:pt>
                <c:pt idx="80">
                  <c:v>22</c:v>
                </c:pt>
                <c:pt idx="81">
                  <c:v>22</c:v>
                </c:pt>
                <c:pt idx="82">
                  <c:v>22</c:v>
                </c:pt>
                <c:pt idx="83">
                  <c:v>22</c:v>
                </c:pt>
                <c:pt idx="84">
                  <c:v>22</c:v>
                </c:pt>
                <c:pt idx="85">
                  <c:v>22</c:v>
                </c:pt>
                <c:pt idx="86">
                  <c:v>22</c:v>
                </c:pt>
                <c:pt idx="87">
                  <c:v>22</c:v>
                </c:pt>
                <c:pt idx="88">
                  <c:v>22</c:v>
                </c:pt>
                <c:pt idx="89">
                  <c:v>23</c:v>
                </c:pt>
                <c:pt idx="90">
                  <c:v>23</c:v>
                </c:pt>
                <c:pt idx="91">
                  <c:v>23</c:v>
                </c:pt>
                <c:pt idx="92">
                  <c:v>23</c:v>
                </c:pt>
                <c:pt idx="93">
                  <c:v>23</c:v>
                </c:pt>
                <c:pt idx="94">
                  <c:v>23</c:v>
                </c:pt>
                <c:pt idx="95">
                  <c:v>23</c:v>
                </c:pt>
                <c:pt idx="96">
                  <c:v>23</c:v>
                </c:pt>
                <c:pt idx="97">
                  <c:v>23</c:v>
                </c:pt>
                <c:pt idx="98">
                  <c:v>23</c:v>
                </c:pt>
                <c:pt idx="99">
                  <c:v>23</c:v>
                </c:pt>
                <c:pt idx="100">
                  <c:v>23</c:v>
                </c:pt>
                <c:pt idx="101">
                  <c:v>23</c:v>
                </c:pt>
                <c:pt idx="102">
                  <c:v>23</c:v>
                </c:pt>
                <c:pt idx="103">
                  <c:v>23</c:v>
                </c:pt>
                <c:pt idx="104">
                  <c:v>23</c:v>
                </c:pt>
                <c:pt idx="105">
                  <c:v>23</c:v>
                </c:pt>
                <c:pt idx="106">
                  <c:v>23</c:v>
                </c:pt>
                <c:pt idx="107">
                  <c:v>23</c:v>
                </c:pt>
                <c:pt idx="108">
                  <c:v>23</c:v>
                </c:pt>
                <c:pt idx="109">
                  <c:v>23</c:v>
                </c:pt>
                <c:pt idx="110">
                  <c:v>23</c:v>
                </c:pt>
                <c:pt idx="111">
                  <c:v>23</c:v>
                </c:pt>
                <c:pt idx="112">
                  <c:v>23</c:v>
                </c:pt>
                <c:pt idx="113">
                  <c:v>23</c:v>
                </c:pt>
                <c:pt idx="114">
                  <c:v>23</c:v>
                </c:pt>
                <c:pt idx="115">
                  <c:v>23</c:v>
                </c:pt>
                <c:pt idx="116">
                  <c:v>23</c:v>
                </c:pt>
                <c:pt idx="117">
                  <c:v>23</c:v>
                </c:pt>
                <c:pt idx="118">
                  <c:v>23</c:v>
                </c:pt>
                <c:pt idx="119">
                  <c:v>24</c:v>
                </c:pt>
                <c:pt idx="120">
                  <c:v>24</c:v>
                </c:pt>
                <c:pt idx="121">
                  <c:v>24</c:v>
                </c:pt>
                <c:pt idx="122">
                  <c:v>24</c:v>
                </c:pt>
                <c:pt idx="123">
                  <c:v>24</c:v>
                </c:pt>
                <c:pt idx="124">
                  <c:v>24</c:v>
                </c:pt>
                <c:pt idx="125">
                  <c:v>24</c:v>
                </c:pt>
                <c:pt idx="126">
                  <c:v>24</c:v>
                </c:pt>
                <c:pt idx="127">
                  <c:v>24</c:v>
                </c:pt>
                <c:pt idx="128">
                  <c:v>24</c:v>
                </c:pt>
                <c:pt idx="129">
                  <c:v>24</c:v>
                </c:pt>
                <c:pt idx="130">
                  <c:v>24</c:v>
                </c:pt>
                <c:pt idx="131">
                  <c:v>24</c:v>
                </c:pt>
                <c:pt idx="132">
                  <c:v>24</c:v>
                </c:pt>
                <c:pt idx="133">
                  <c:v>24</c:v>
                </c:pt>
                <c:pt idx="134">
                  <c:v>24</c:v>
                </c:pt>
                <c:pt idx="135">
                  <c:v>24</c:v>
                </c:pt>
                <c:pt idx="136">
                  <c:v>24</c:v>
                </c:pt>
                <c:pt idx="137">
                  <c:v>24</c:v>
                </c:pt>
                <c:pt idx="138">
                  <c:v>24</c:v>
                </c:pt>
                <c:pt idx="139">
                  <c:v>24</c:v>
                </c:pt>
                <c:pt idx="140">
                  <c:v>24</c:v>
                </c:pt>
                <c:pt idx="141">
                  <c:v>24</c:v>
                </c:pt>
                <c:pt idx="142">
                  <c:v>24</c:v>
                </c:pt>
                <c:pt idx="143">
                  <c:v>24</c:v>
                </c:pt>
                <c:pt idx="144">
                  <c:v>24</c:v>
                </c:pt>
                <c:pt idx="145">
                  <c:v>24</c:v>
                </c:pt>
                <c:pt idx="146">
                  <c:v>24</c:v>
                </c:pt>
                <c:pt idx="147">
                  <c:v>24</c:v>
                </c:pt>
                <c:pt idx="148">
                  <c:v>24</c:v>
                </c:pt>
                <c:pt idx="149">
                  <c:v>25</c:v>
                </c:pt>
                <c:pt idx="150">
                  <c:v>25</c:v>
                </c:pt>
                <c:pt idx="151">
                  <c:v>25</c:v>
                </c:pt>
                <c:pt idx="152">
                  <c:v>25</c:v>
                </c:pt>
                <c:pt idx="153">
                  <c:v>25</c:v>
                </c:pt>
                <c:pt idx="154">
                  <c:v>25</c:v>
                </c:pt>
                <c:pt idx="155">
                  <c:v>25</c:v>
                </c:pt>
                <c:pt idx="156">
                  <c:v>25</c:v>
                </c:pt>
                <c:pt idx="157">
                  <c:v>25</c:v>
                </c:pt>
                <c:pt idx="158">
                  <c:v>25</c:v>
                </c:pt>
                <c:pt idx="159">
                  <c:v>25</c:v>
                </c:pt>
                <c:pt idx="160">
                  <c:v>25</c:v>
                </c:pt>
                <c:pt idx="161">
                  <c:v>25</c:v>
                </c:pt>
                <c:pt idx="162">
                  <c:v>25</c:v>
                </c:pt>
                <c:pt idx="163">
                  <c:v>25</c:v>
                </c:pt>
                <c:pt idx="164">
                  <c:v>25</c:v>
                </c:pt>
                <c:pt idx="165">
                  <c:v>25</c:v>
                </c:pt>
                <c:pt idx="166">
                  <c:v>25</c:v>
                </c:pt>
                <c:pt idx="167">
                  <c:v>25</c:v>
                </c:pt>
                <c:pt idx="168">
                  <c:v>25</c:v>
                </c:pt>
                <c:pt idx="169">
                  <c:v>25</c:v>
                </c:pt>
                <c:pt idx="170">
                  <c:v>25</c:v>
                </c:pt>
                <c:pt idx="171">
                  <c:v>25</c:v>
                </c:pt>
                <c:pt idx="172">
                  <c:v>25</c:v>
                </c:pt>
                <c:pt idx="173">
                  <c:v>25</c:v>
                </c:pt>
                <c:pt idx="174">
                  <c:v>25</c:v>
                </c:pt>
                <c:pt idx="175">
                  <c:v>25</c:v>
                </c:pt>
                <c:pt idx="176">
                  <c:v>25</c:v>
                </c:pt>
                <c:pt idx="177">
                  <c:v>25</c:v>
                </c:pt>
                <c:pt idx="178">
                  <c:v>25</c:v>
                </c:pt>
                <c:pt idx="179">
                  <c:v>26</c:v>
                </c:pt>
                <c:pt idx="180">
                  <c:v>26</c:v>
                </c:pt>
                <c:pt idx="181">
                  <c:v>26</c:v>
                </c:pt>
                <c:pt idx="182">
                  <c:v>26</c:v>
                </c:pt>
                <c:pt idx="183">
                  <c:v>26</c:v>
                </c:pt>
                <c:pt idx="184">
                  <c:v>26</c:v>
                </c:pt>
                <c:pt idx="185">
                  <c:v>26</c:v>
                </c:pt>
                <c:pt idx="186">
                  <c:v>26</c:v>
                </c:pt>
                <c:pt idx="187">
                  <c:v>26</c:v>
                </c:pt>
                <c:pt idx="188">
                  <c:v>26</c:v>
                </c:pt>
                <c:pt idx="189">
                  <c:v>26</c:v>
                </c:pt>
                <c:pt idx="190">
                  <c:v>26</c:v>
                </c:pt>
                <c:pt idx="191">
                  <c:v>26</c:v>
                </c:pt>
                <c:pt idx="192">
                  <c:v>26</c:v>
                </c:pt>
                <c:pt idx="193">
                  <c:v>26</c:v>
                </c:pt>
                <c:pt idx="194">
                  <c:v>26</c:v>
                </c:pt>
                <c:pt idx="195">
                  <c:v>26</c:v>
                </c:pt>
                <c:pt idx="196">
                  <c:v>26</c:v>
                </c:pt>
                <c:pt idx="197">
                  <c:v>26</c:v>
                </c:pt>
                <c:pt idx="198">
                  <c:v>26</c:v>
                </c:pt>
                <c:pt idx="199">
                  <c:v>26</c:v>
                </c:pt>
                <c:pt idx="200">
                  <c:v>26</c:v>
                </c:pt>
                <c:pt idx="201">
                  <c:v>26</c:v>
                </c:pt>
                <c:pt idx="202">
                  <c:v>26</c:v>
                </c:pt>
                <c:pt idx="203">
                  <c:v>26</c:v>
                </c:pt>
                <c:pt idx="204">
                  <c:v>26</c:v>
                </c:pt>
                <c:pt idx="205">
                  <c:v>26</c:v>
                </c:pt>
                <c:pt idx="206">
                  <c:v>26</c:v>
                </c:pt>
                <c:pt idx="207">
                  <c:v>26</c:v>
                </c:pt>
                <c:pt idx="208">
                  <c:v>26</c:v>
                </c:pt>
                <c:pt idx="209">
                  <c:v>27</c:v>
                </c:pt>
                <c:pt idx="210">
                  <c:v>27</c:v>
                </c:pt>
                <c:pt idx="211">
                  <c:v>27</c:v>
                </c:pt>
                <c:pt idx="212">
                  <c:v>27</c:v>
                </c:pt>
                <c:pt idx="213">
                  <c:v>27</c:v>
                </c:pt>
                <c:pt idx="214">
                  <c:v>27</c:v>
                </c:pt>
                <c:pt idx="215">
                  <c:v>27</c:v>
                </c:pt>
                <c:pt idx="216">
                  <c:v>27</c:v>
                </c:pt>
                <c:pt idx="217">
                  <c:v>27</c:v>
                </c:pt>
                <c:pt idx="218">
                  <c:v>27</c:v>
                </c:pt>
                <c:pt idx="219">
                  <c:v>27</c:v>
                </c:pt>
                <c:pt idx="220">
                  <c:v>27</c:v>
                </c:pt>
                <c:pt idx="221">
                  <c:v>27</c:v>
                </c:pt>
                <c:pt idx="222">
                  <c:v>27</c:v>
                </c:pt>
                <c:pt idx="223">
                  <c:v>27</c:v>
                </c:pt>
                <c:pt idx="224">
                  <c:v>27</c:v>
                </c:pt>
                <c:pt idx="225">
                  <c:v>27</c:v>
                </c:pt>
                <c:pt idx="226">
                  <c:v>27</c:v>
                </c:pt>
                <c:pt idx="227">
                  <c:v>27</c:v>
                </c:pt>
                <c:pt idx="228">
                  <c:v>27</c:v>
                </c:pt>
                <c:pt idx="229">
                  <c:v>27</c:v>
                </c:pt>
                <c:pt idx="230">
                  <c:v>27</c:v>
                </c:pt>
                <c:pt idx="231">
                  <c:v>27</c:v>
                </c:pt>
                <c:pt idx="232">
                  <c:v>27</c:v>
                </c:pt>
                <c:pt idx="233">
                  <c:v>27</c:v>
                </c:pt>
                <c:pt idx="234">
                  <c:v>27</c:v>
                </c:pt>
                <c:pt idx="235">
                  <c:v>27</c:v>
                </c:pt>
                <c:pt idx="236">
                  <c:v>27</c:v>
                </c:pt>
                <c:pt idx="237">
                  <c:v>27</c:v>
                </c:pt>
                <c:pt idx="238">
                  <c:v>27</c:v>
                </c:pt>
                <c:pt idx="239">
                  <c:v>28</c:v>
                </c:pt>
                <c:pt idx="240">
                  <c:v>28</c:v>
                </c:pt>
                <c:pt idx="241">
                  <c:v>28</c:v>
                </c:pt>
                <c:pt idx="242">
                  <c:v>28</c:v>
                </c:pt>
                <c:pt idx="243">
                  <c:v>28</c:v>
                </c:pt>
                <c:pt idx="244">
                  <c:v>28</c:v>
                </c:pt>
                <c:pt idx="245">
                  <c:v>28</c:v>
                </c:pt>
                <c:pt idx="246">
                  <c:v>28</c:v>
                </c:pt>
                <c:pt idx="247">
                  <c:v>28</c:v>
                </c:pt>
                <c:pt idx="248">
                  <c:v>28</c:v>
                </c:pt>
                <c:pt idx="249">
                  <c:v>28</c:v>
                </c:pt>
                <c:pt idx="250">
                  <c:v>28</c:v>
                </c:pt>
                <c:pt idx="251">
                  <c:v>28</c:v>
                </c:pt>
                <c:pt idx="252">
                  <c:v>28</c:v>
                </c:pt>
                <c:pt idx="253">
                  <c:v>28</c:v>
                </c:pt>
                <c:pt idx="254">
                  <c:v>28</c:v>
                </c:pt>
                <c:pt idx="255">
                  <c:v>28</c:v>
                </c:pt>
                <c:pt idx="256">
                  <c:v>28</c:v>
                </c:pt>
                <c:pt idx="257">
                  <c:v>28</c:v>
                </c:pt>
                <c:pt idx="258">
                  <c:v>28</c:v>
                </c:pt>
                <c:pt idx="259">
                  <c:v>28</c:v>
                </c:pt>
                <c:pt idx="260">
                  <c:v>28</c:v>
                </c:pt>
                <c:pt idx="261">
                  <c:v>28</c:v>
                </c:pt>
                <c:pt idx="262">
                  <c:v>28</c:v>
                </c:pt>
                <c:pt idx="263">
                  <c:v>28</c:v>
                </c:pt>
                <c:pt idx="264">
                  <c:v>28</c:v>
                </c:pt>
                <c:pt idx="265">
                  <c:v>28</c:v>
                </c:pt>
                <c:pt idx="266">
                  <c:v>28</c:v>
                </c:pt>
                <c:pt idx="267">
                  <c:v>28</c:v>
                </c:pt>
                <c:pt idx="268">
                  <c:v>28</c:v>
                </c:pt>
                <c:pt idx="269">
                  <c:v>29</c:v>
                </c:pt>
                <c:pt idx="270">
                  <c:v>29</c:v>
                </c:pt>
                <c:pt idx="271">
                  <c:v>29</c:v>
                </c:pt>
                <c:pt idx="272">
                  <c:v>29</c:v>
                </c:pt>
                <c:pt idx="273">
                  <c:v>29</c:v>
                </c:pt>
                <c:pt idx="274">
                  <c:v>29</c:v>
                </c:pt>
                <c:pt idx="275">
                  <c:v>29</c:v>
                </c:pt>
                <c:pt idx="276">
                  <c:v>29</c:v>
                </c:pt>
                <c:pt idx="277">
                  <c:v>29</c:v>
                </c:pt>
                <c:pt idx="278">
                  <c:v>29</c:v>
                </c:pt>
                <c:pt idx="279">
                  <c:v>29</c:v>
                </c:pt>
                <c:pt idx="280">
                  <c:v>29</c:v>
                </c:pt>
                <c:pt idx="281">
                  <c:v>29</c:v>
                </c:pt>
                <c:pt idx="282">
                  <c:v>29</c:v>
                </c:pt>
                <c:pt idx="283">
                  <c:v>29</c:v>
                </c:pt>
                <c:pt idx="284">
                  <c:v>29</c:v>
                </c:pt>
                <c:pt idx="285">
                  <c:v>29</c:v>
                </c:pt>
                <c:pt idx="286">
                  <c:v>29</c:v>
                </c:pt>
                <c:pt idx="287">
                  <c:v>29</c:v>
                </c:pt>
                <c:pt idx="288">
                  <c:v>29</c:v>
                </c:pt>
                <c:pt idx="289">
                  <c:v>29</c:v>
                </c:pt>
                <c:pt idx="290">
                  <c:v>29</c:v>
                </c:pt>
                <c:pt idx="291">
                  <c:v>29</c:v>
                </c:pt>
                <c:pt idx="292">
                  <c:v>29</c:v>
                </c:pt>
                <c:pt idx="293">
                  <c:v>29</c:v>
                </c:pt>
                <c:pt idx="294">
                  <c:v>29</c:v>
                </c:pt>
                <c:pt idx="295">
                  <c:v>29</c:v>
                </c:pt>
                <c:pt idx="296">
                  <c:v>29</c:v>
                </c:pt>
                <c:pt idx="297">
                  <c:v>29</c:v>
                </c:pt>
                <c:pt idx="298">
                  <c:v>29</c:v>
                </c:pt>
                <c:pt idx="299">
                  <c:v>30</c:v>
                </c:pt>
                <c:pt idx="300">
                  <c:v>30</c:v>
                </c:pt>
                <c:pt idx="301">
                  <c:v>30</c:v>
                </c:pt>
                <c:pt idx="302">
                  <c:v>30</c:v>
                </c:pt>
                <c:pt idx="303">
                  <c:v>30</c:v>
                </c:pt>
                <c:pt idx="304">
                  <c:v>30</c:v>
                </c:pt>
                <c:pt idx="305">
                  <c:v>30</c:v>
                </c:pt>
                <c:pt idx="306">
                  <c:v>30</c:v>
                </c:pt>
                <c:pt idx="307">
                  <c:v>30</c:v>
                </c:pt>
                <c:pt idx="308">
                  <c:v>30</c:v>
                </c:pt>
                <c:pt idx="309">
                  <c:v>30</c:v>
                </c:pt>
                <c:pt idx="310">
                  <c:v>30</c:v>
                </c:pt>
                <c:pt idx="311">
                  <c:v>30</c:v>
                </c:pt>
                <c:pt idx="312">
                  <c:v>30</c:v>
                </c:pt>
                <c:pt idx="313">
                  <c:v>30</c:v>
                </c:pt>
                <c:pt idx="314">
                  <c:v>30</c:v>
                </c:pt>
                <c:pt idx="315">
                  <c:v>30</c:v>
                </c:pt>
                <c:pt idx="316">
                  <c:v>30</c:v>
                </c:pt>
                <c:pt idx="317">
                  <c:v>30</c:v>
                </c:pt>
                <c:pt idx="318">
                  <c:v>30</c:v>
                </c:pt>
                <c:pt idx="319">
                  <c:v>30</c:v>
                </c:pt>
                <c:pt idx="320">
                  <c:v>30</c:v>
                </c:pt>
                <c:pt idx="321">
                  <c:v>30</c:v>
                </c:pt>
                <c:pt idx="322">
                  <c:v>30</c:v>
                </c:pt>
                <c:pt idx="323">
                  <c:v>30</c:v>
                </c:pt>
                <c:pt idx="324">
                  <c:v>30</c:v>
                </c:pt>
                <c:pt idx="325">
                  <c:v>30</c:v>
                </c:pt>
                <c:pt idx="326">
                  <c:v>30</c:v>
                </c:pt>
                <c:pt idx="327">
                  <c:v>30</c:v>
                </c:pt>
                <c:pt idx="328">
                  <c:v>30</c:v>
                </c:pt>
                <c:pt idx="329">
                  <c:v>31</c:v>
                </c:pt>
                <c:pt idx="330">
                  <c:v>31</c:v>
                </c:pt>
                <c:pt idx="331">
                  <c:v>31</c:v>
                </c:pt>
                <c:pt idx="332">
                  <c:v>31</c:v>
                </c:pt>
                <c:pt idx="333">
                  <c:v>31</c:v>
                </c:pt>
                <c:pt idx="334">
                  <c:v>31</c:v>
                </c:pt>
                <c:pt idx="335">
                  <c:v>31</c:v>
                </c:pt>
                <c:pt idx="336">
                  <c:v>31</c:v>
                </c:pt>
                <c:pt idx="337">
                  <c:v>31</c:v>
                </c:pt>
                <c:pt idx="338">
                  <c:v>31</c:v>
                </c:pt>
                <c:pt idx="339">
                  <c:v>31</c:v>
                </c:pt>
                <c:pt idx="340">
                  <c:v>31</c:v>
                </c:pt>
                <c:pt idx="341">
                  <c:v>31</c:v>
                </c:pt>
                <c:pt idx="342">
                  <c:v>31</c:v>
                </c:pt>
                <c:pt idx="343">
                  <c:v>31</c:v>
                </c:pt>
                <c:pt idx="344">
                  <c:v>31</c:v>
                </c:pt>
                <c:pt idx="345">
                  <c:v>31</c:v>
                </c:pt>
                <c:pt idx="346">
                  <c:v>31</c:v>
                </c:pt>
                <c:pt idx="347">
                  <c:v>31</c:v>
                </c:pt>
                <c:pt idx="348">
                  <c:v>31</c:v>
                </c:pt>
                <c:pt idx="349">
                  <c:v>31</c:v>
                </c:pt>
                <c:pt idx="350">
                  <c:v>31</c:v>
                </c:pt>
                <c:pt idx="351">
                  <c:v>31</c:v>
                </c:pt>
                <c:pt idx="352">
                  <c:v>31</c:v>
                </c:pt>
                <c:pt idx="353">
                  <c:v>31</c:v>
                </c:pt>
                <c:pt idx="354">
                  <c:v>31</c:v>
                </c:pt>
                <c:pt idx="355">
                  <c:v>31</c:v>
                </c:pt>
                <c:pt idx="356">
                  <c:v>31</c:v>
                </c:pt>
                <c:pt idx="357">
                  <c:v>31</c:v>
                </c:pt>
                <c:pt idx="358">
                  <c:v>31</c:v>
                </c:pt>
                <c:pt idx="359">
                  <c:v>32</c:v>
                </c:pt>
                <c:pt idx="360">
                  <c:v>32</c:v>
                </c:pt>
                <c:pt idx="361">
                  <c:v>32</c:v>
                </c:pt>
                <c:pt idx="362">
                  <c:v>32</c:v>
                </c:pt>
                <c:pt idx="363">
                  <c:v>32</c:v>
                </c:pt>
                <c:pt idx="364">
                  <c:v>32</c:v>
                </c:pt>
                <c:pt idx="365">
                  <c:v>32</c:v>
                </c:pt>
                <c:pt idx="366">
                  <c:v>32</c:v>
                </c:pt>
                <c:pt idx="367">
                  <c:v>32</c:v>
                </c:pt>
                <c:pt idx="368">
                  <c:v>32</c:v>
                </c:pt>
                <c:pt idx="369">
                  <c:v>32</c:v>
                </c:pt>
                <c:pt idx="370">
                  <c:v>32</c:v>
                </c:pt>
                <c:pt idx="371">
                  <c:v>32</c:v>
                </c:pt>
                <c:pt idx="372">
                  <c:v>32</c:v>
                </c:pt>
                <c:pt idx="373">
                  <c:v>32</c:v>
                </c:pt>
                <c:pt idx="374">
                  <c:v>32</c:v>
                </c:pt>
                <c:pt idx="375">
                  <c:v>32</c:v>
                </c:pt>
                <c:pt idx="376">
                  <c:v>32</c:v>
                </c:pt>
                <c:pt idx="377">
                  <c:v>32</c:v>
                </c:pt>
                <c:pt idx="378">
                  <c:v>32</c:v>
                </c:pt>
                <c:pt idx="379">
                  <c:v>32</c:v>
                </c:pt>
                <c:pt idx="380">
                  <c:v>32</c:v>
                </c:pt>
                <c:pt idx="381">
                  <c:v>32</c:v>
                </c:pt>
                <c:pt idx="382">
                  <c:v>32</c:v>
                </c:pt>
                <c:pt idx="383">
                  <c:v>32</c:v>
                </c:pt>
                <c:pt idx="384">
                  <c:v>32</c:v>
                </c:pt>
                <c:pt idx="385">
                  <c:v>32</c:v>
                </c:pt>
                <c:pt idx="386">
                  <c:v>32</c:v>
                </c:pt>
                <c:pt idx="387">
                  <c:v>32</c:v>
                </c:pt>
                <c:pt idx="388">
                  <c:v>32</c:v>
                </c:pt>
                <c:pt idx="389">
                  <c:v>33</c:v>
                </c:pt>
                <c:pt idx="390">
                  <c:v>33</c:v>
                </c:pt>
                <c:pt idx="391">
                  <c:v>33</c:v>
                </c:pt>
                <c:pt idx="392">
                  <c:v>33</c:v>
                </c:pt>
                <c:pt idx="393">
                  <c:v>33</c:v>
                </c:pt>
                <c:pt idx="394">
                  <c:v>33</c:v>
                </c:pt>
                <c:pt idx="395">
                  <c:v>33</c:v>
                </c:pt>
                <c:pt idx="396">
                  <c:v>33</c:v>
                </c:pt>
                <c:pt idx="397">
                  <c:v>33</c:v>
                </c:pt>
                <c:pt idx="398">
                  <c:v>33</c:v>
                </c:pt>
                <c:pt idx="399">
                  <c:v>33</c:v>
                </c:pt>
                <c:pt idx="400">
                  <c:v>33</c:v>
                </c:pt>
                <c:pt idx="401">
                  <c:v>33</c:v>
                </c:pt>
                <c:pt idx="402">
                  <c:v>33</c:v>
                </c:pt>
                <c:pt idx="403">
                  <c:v>33</c:v>
                </c:pt>
                <c:pt idx="404">
                  <c:v>33</c:v>
                </c:pt>
                <c:pt idx="405">
                  <c:v>33</c:v>
                </c:pt>
                <c:pt idx="406">
                  <c:v>33</c:v>
                </c:pt>
                <c:pt idx="407">
                  <c:v>33</c:v>
                </c:pt>
                <c:pt idx="408">
                  <c:v>33</c:v>
                </c:pt>
                <c:pt idx="409">
                  <c:v>33</c:v>
                </c:pt>
                <c:pt idx="410">
                  <c:v>33</c:v>
                </c:pt>
                <c:pt idx="411">
                  <c:v>33</c:v>
                </c:pt>
                <c:pt idx="412">
                  <c:v>33</c:v>
                </c:pt>
                <c:pt idx="413">
                  <c:v>33</c:v>
                </c:pt>
                <c:pt idx="414">
                  <c:v>33</c:v>
                </c:pt>
                <c:pt idx="415">
                  <c:v>33</c:v>
                </c:pt>
                <c:pt idx="416">
                  <c:v>33</c:v>
                </c:pt>
                <c:pt idx="417">
                  <c:v>33</c:v>
                </c:pt>
                <c:pt idx="418">
                  <c:v>33</c:v>
                </c:pt>
                <c:pt idx="419">
                  <c:v>34</c:v>
                </c:pt>
                <c:pt idx="420">
                  <c:v>34</c:v>
                </c:pt>
                <c:pt idx="421">
                  <c:v>34</c:v>
                </c:pt>
                <c:pt idx="422">
                  <c:v>34</c:v>
                </c:pt>
                <c:pt idx="423">
                  <c:v>34</c:v>
                </c:pt>
                <c:pt idx="424">
                  <c:v>34</c:v>
                </c:pt>
                <c:pt idx="425">
                  <c:v>34</c:v>
                </c:pt>
                <c:pt idx="426">
                  <c:v>34</c:v>
                </c:pt>
                <c:pt idx="427">
                  <c:v>34</c:v>
                </c:pt>
                <c:pt idx="428">
                  <c:v>34</c:v>
                </c:pt>
                <c:pt idx="429">
                  <c:v>34</c:v>
                </c:pt>
                <c:pt idx="430">
                  <c:v>34</c:v>
                </c:pt>
                <c:pt idx="431">
                  <c:v>34</c:v>
                </c:pt>
                <c:pt idx="432">
                  <c:v>34</c:v>
                </c:pt>
                <c:pt idx="433">
                  <c:v>34</c:v>
                </c:pt>
                <c:pt idx="434">
                  <c:v>34</c:v>
                </c:pt>
                <c:pt idx="435">
                  <c:v>34</c:v>
                </c:pt>
                <c:pt idx="436">
                  <c:v>34</c:v>
                </c:pt>
                <c:pt idx="437">
                  <c:v>34</c:v>
                </c:pt>
                <c:pt idx="438">
                  <c:v>34</c:v>
                </c:pt>
                <c:pt idx="439">
                  <c:v>34</c:v>
                </c:pt>
                <c:pt idx="440">
                  <c:v>34</c:v>
                </c:pt>
                <c:pt idx="441">
                  <c:v>34</c:v>
                </c:pt>
                <c:pt idx="442">
                  <c:v>34</c:v>
                </c:pt>
                <c:pt idx="443">
                  <c:v>34</c:v>
                </c:pt>
                <c:pt idx="444">
                  <c:v>34</c:v>
                </c:pt>
                <c:pt idx="445">
                  <c:v>34</c:v>
                </c:pt>
                <c:pt idx="446">
                  <c:v>34</c:v>
                </c:pt>
                <c:pt idx="447">
                  <c:v>34</c:v>
                </c:pt>
                <c:pt idx="448">
                  <c:v>34</c:v>
                </c:pt>
                <c:pt idx="449">
                  <c:v>35</c:v>
                </c:pt>
                <c:pt idx="450">
                  <c:v>35</c:v>
                </c:pt>
                <c:pt idx="451">
                  <c:v>35</c:v>
                </c:pt>
                <c:pt idx="452">
                  <c:v>35</c:v>
                </c:pt>
                <c:pt idx="453">
                  <c:v>35</c:v>
                </c:pt>
                <c:pt idx="454">
                  <c:v>35</c:v>
                </c:pt>
                <c:pt idx="455">
                  <c:v>35</c:v>
                </c:pt>
                <c:pt idx="456">
                  <c:v>35</c:v>
                </c:pt>
                <c:pt idx="457">
                  <c:v>35</c:v>
                </c:pt>
                <c:pt idx="458">
                  <c:v>35</c:v>
                </c:pt>
                <c:pt idx="459">
                  <c:v>35</c:v>
                </c:pt>
                <c:pt idx="460">
                  <c:v>35</c:v>
                </c:pt>
                <c:pt idx="461">
                  <c:v>35</c:v>
                </c:pt>
                <c:pt idx="462">
                  <c:v>35</c:v>
                </c:pt>
                <c:pt idx="463">
                  <c:v>35</c:v>
                </c:pt>
                <c:pt idx="464">
                  <c:v>35</c:v>
                </c:pt>
                <c:pt idx="465">
                  <c:v>35</c:v>
                </c:pt>
                <c:pt idx="466">
                  <c:v>35</c:v>
                </c:pt>
                <c:pt idx="467">
                  <c:v>35</c:v>
                </c:pt>
                <c:pt idx="468">
                  <c:v>35</c:v>
                </c:pt>
                <c:pt idx="469">
                  <c:v>35</c:v>
                </c:pt>
                <c:pt idx="470">
                  <c:v>35</c:v>
                </c:pt>
                <c:pt idx="471">
                  <c:v>35</c:v>
                </c:pt>
                <c:pt idx="472">
                  <c:v>35</c:v>
                </c:pt>
                <c:pt idx="473">
                  <c:v>35</c:v>
                </c:pt>
                <c:pt idx="474">
                  <c:v>35</c:v>
                </c:pt>
                <c:pt idx="475">
                  <c:v>35</c:v>
                </c:pt>
                <c:pt idx="476">
                  <c:v>35</c:v>
                </c:pt>
                <c:pt idx="477">
                  <c:v>35</c:v>
                </c:pt>
                <c:pt idx="478">
                  <c:v>35</c:v>
                </c:pt>
              </c:numCache>
            </c:numRef>
          </c:xVal>
          <c:yVal>
            <c:numRef>
              <c:f>'Bombe data'!$K$5:$K$483</c:f>
              <c:numCache>
                <c:formatCode>General</c:formatCode>
                <c:ptCount val="47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3124</c:v>
                </c:pt>
                <c:pt idx="31">
                  <c:v>89033</c:v>
                </c:pt>
                <c:pt idx="32">
                  <c:v>3406</c:v>
                </c:pt>
                <c:pt idx="33">
                  <c:v>17987538</c:v>
                </c:pt>
                <c:pt idx="34">
                  <c:v>81184</c:v>
                </c:pt>
                <c:pt idx="35">
                  <c:v>88814</c:v>
                </c:pt>
                <c:pt idx="36">
                  <c:v>1992546</c:v>
                </c:pt>
                <c:pt idx="37">
                  <c:v>3040</c:v>
                </c:pt>
                <c:pt idx="38">
                  <c:v>89504</c:v>
                </c:pt>
                <c:pt idx="39">
                  <c:v>2918</c:v>
                </c:pt>
                <c:pt idx="40">
                  <c:v>465017731</c:v>
                </c:pt>
                <c:pt idx="41">
                  <c:v>0</c:v>
                </c:pt>
                <c:pt idx="42">
                  <c:v>1293051</c:v>
                </c:pt>
                <c:pt idx="43">
                  <c:v>79144</c:v>
                </c:pt>
                <c:pt idx="44">
                  <c:v>80292</c:v>
                </c:pt>
                <c:pt idx="45">
                  <c:v>81246</c:v>
                </c:pt>
                <c:pt idx="46">
                  <c:v>3380</c:v>
                </c:pt>
                <c:pt idx="47">
                  <c:v>17996452</c:v>
                </c:pt>
                <c:pt idx="48">
                  <c:v>2007923</c:v>
                </c:pt>
                <c:pt idx="49">
                  <c:v>96048</c:v>
                </c:pt>
                <c:pt idx="50">
                  <c:v>20078718</c:v>
                </c:pt>
                <c:pt idx="51">
                  <c:v>80510</c:v>
                </c:pt>
                <c:pt idx="52">
                  <c:v>83507</c:v>
                </c:pt>
                <c:pt idx="53">
                  <c:v>20150504</c:v>
                </c:pt>
                <c:pt idx="54">
                  <c:v>3073</c:v>
                </c:pt>
                <c:pt idx="55">
                  <c:v>19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163</c:v>
                </c:pt>
                <c:pt idx="60">
                  <c:v>114</c:v>
                </c:pt>
                <c:pt idx="61">
                  <c:v>3438</c:v>
                </c:pt>
                <c:pt idx="62">
                  <c:v>3466</c:v>
                </c:pt>
                <c:pt idx="63">
                  <c:v>20084151</c:v>
                </c:pt>
                <c:pt idx="64">
                  <c:v>146</c:v>
                </c:pt>
                <c:pt idx="65">
                  <c:v>3208</c:v>
                </c:pt>
                <c:pt idx="66">
                  <c:v>0</c:v>
                </c:pt>
                <c:pt idx="67">
                  <c:v>81806</c:v>
                </c:pt>
                <c:pt idx="68">
                  <c:v>1</c:v>
                </c:pt>
                <c:pt idx="69">
                  <c:v>2012067</c:v>
                </c:pt>
                <c:pt idx="70">
                  <c:v>124</c:v>
                </c:pt>
                <c:pt idx="71">
                  <c:v>84</c:v>
                </c:pt>
                <c:pt idx="72">
                  <c:v>92902</c:v>
                </c:pt>
                <c:pt idx="73">
                  <c:v>81618</c:v>
                </c:pt>
                <c:pt idx="74">
                  <c:v>3128</c:v>
                </c:pt>
                <c:pt idx="75">
                  <c:v>2108045</c:v>
                </c:pt>
                <c:pt idx="76">
                  <c:v>2016853</c:v>
                </c:pt>
                <c:pt idx="77">
                  <c:v>87227</c:v>
                </c:pt>
                <c:pt idx="78">
                  <c:v>1309040</c:v>
                </c:pt>
                <c:pt idx="79">
                  <c:v>1290075</c:v>
                </c:pt>
                <c:pt idx="80">
                  <c:v>51408</c:v>
                </c:pt>
                <c:pt idx="81">
                  <c:v>3199</c:v>
                </c:pt>
                <c:pt idx="82">
                  <c:v>0</c:v>
                </c:pt>
                <c:pt idx="83">
                  <c:v>2025307</c:v>
                </c:pt>
                <c:pt idx="84">
                  <c:v>81657</c:v>
                </c:pt>
                <c:pt idx="85">
                  <c:v>50818</c:v>
                </c:pt>
                <c:pt idx="86">
                  <c:v>3465</c:v>
                </c:pt>
                <c:pt idx="87">
                  <c:v>79573</c:v>
                </c:pt>
                <c:pt idx="88">
                  <c:v>1295956</c:v>
                </c:pt>
                <c:pt idx="89">
                  <c:v>107</c:v>
                </c:pt>
                <c:pt idx="90">
                  <c:v>52636746</c:v>
                </c:pt>
                <c:pt idx="91">
                  <c:v>0</c:v>
                </c:pt>
                <c:pt idx="92">
                  <c:v>81230</c:v>
                </c:pt>
                <c:pt idx="93">
                  <c:v>1848</c:v>
                </c:pt>
                <c:pt idx="94">
                  <c:v>3125</c:v>
                </c:pt>
                <c:pt idx="95">
                  <c:v>524075557</c:v>
                </c:pt>
                <c:pt idx="96">
                  <c:v>2</c:v>
                </c:pt>
                <c:pt idx="97">
                  <c:v>136</c:v>
                </c:pt>
                <c:pt idx="98">
                  <c:v>112</c:v>
                </c:pt>
                <c:pt idx="99">
                  <c:v>3278</c:v>
                </c:pt>
                <c:pt idx="100">
                  <c:v>3171</c:v>
                </c:pt>
                <c:pt idx="101">
                  <c:v>53573</c:v>
                </c:pt>
                <c:pt idx="102">
                  <c:v>3192</c:v>
                </c:pt>
                <c:pt idx="103">
                  <c:v>81085</c:v>
                </c:pt>
                <c:pt idx="104">
                  <c:v>79760</c:v>
                </c:pt>
                <c:pt idx="105">
                  <c:v>3153</c:v>
                </c:pt>
                <c:pt idx="106">
                  <c:v>5</c:v>
                </c:pt>
                <c:pt idx="107">
                  <c:v>83112</c:v>
                </c:pt>
                <c:pt idx="108">
                  <c:v>2023219</c:v>
                </c:pt>
                <c:pt idx="109">
                  <c:v>155</c:v>
                </c:pt>
                <c:pt idx="110">
                  <c:v>81057</c:v>
                </c:pt>
                <c:pt idx="111">
                  <c:v>3215</c:v>
                </c:pt>
                <c:pt idx="112">
                  <c:v>18029068</c:v>
                </c:pt>
                <c:pt idx="113">
                  <c:v>3065</c:v>
                </c:pt>
                <c:pt idx="114">
                  <c:v>1287894</c:v>
                </c:pt>
                <c:pt idx="115">
                  <c:v>107</c:v>
                </c:pt>
                <c:pt idx="116">
                  <c:v>52033822</c:v>
                </c:pt>
                <c:pt idx="117">
                  <c:v>4</c:v>
                </c:pt>
                <c:pt idx="118">
                  <c:v>152</c:v>
                </c:pt>
                <c:pt idx="119">
                  <c:v>2127096</c:v>
                </c:pt>
                <c:pt idx="120">
                  <c:v>1361832</c:v>
                </c:pt>
                <c:pt idx="121">
                  <c:v>82216</c:v>
                </c:pt>
                <c:pt idx="122">
                  <c:v>52694169</c:v>
                </c:pt>
                <c:pt idx="123">
                  <c:v>85076</c:v>
                </c:pt>
                <c:pt idx="124">
                  <c:v>2</c:v>
                </c:pt>
                <c:pt idx="125">
                  <c:v>101</c:v>
                </c:pt>
                <c:pt idx="126">
                  <c:v>3138</c:v>
                </c:pt>
                <c:pt idx="127">
                  <c:v>3380</c:v>
                </c:pt>
                <c:pt idx="128">
                  <c:v>3286</c:v>
                </c:pt>
                <c:pt idx="129">
                  <c:v>103</c:v>
                </c:pt>
                <c:pt idx="130">
                  <c:v>83524</c:v>
                </c:pt>
                <c:pt idx="131">
                  <c:v>3509</c:v>
                </c:pt>
                <c:pt idx="132">
                  <c:v>13</c:v>
                </c:pt>
                <c:pt idx="133">
                  <c:v>3296</c:v>
                </c:pt>
                <c:pt idx="134">
                  <c:v>1295873</c:v>
                </c:pt>
                <c:pt idx="135">
                  <c:v>18010453</c:v>
                </c:pt>
                <c:pt idx="136">
                  <c:v>126</c:v>
                </c:pt>
                <c:pt idx="137">
                  <c:v>1</c:v>
                </c:pt>
                <c:pt idx="138">
                  <c:v>127</c:v>
                </c:pt>
                <c:pt idx="139">
                  <c:v>7</c:v>
                </c:pt>
                <c:pt idx="140">
                  <c:v>106</c:v>
                </c:pt>
                <c:pt idx="141">
                  <c:v>81334</c:v>
                </c:pt>
                <c:pt idx="142">
                  <c:v>17908043</c:v>
                </c:pt>
                <c:pt idx="143">
                  <c:v>97697</c:v>
                </c:pt>
                <c:pt idx="144">
                  <c:v>79686</c:v>
                </c:pt>
                <c:pt idx="145">
                  <c:v>20133396</c:v>
                </c:pt>
                <c:pt idx="146">
                  <c:v>6</c:v>
                </c:pt>
                <c:pt idx="147">
                  <c:v>88328</c:v>
                </c:pt>
                <c:pt idx="148">
                  <c:v>80193</c:v>
                </c:pt>
                <c:pt idx="149">
                  <c:v>2034507</c:v>
                </c:pt>
                <c:pt idx="150">
                  <c:v>82964</c:v>
                </c:pt>
                <c:pt idx="151">
                  <c:v>1</c:v>
                </c:pt>
                <c:pt idx="152">
                  <c:v>2</c:v>
                </c:pt>
                <c:pt idx="153">
                  <c:v>1</c:v>
                </c:pt>
                <c:pt idx="154">
                  <c:v>131</c:v>
                </c:pt>
                <c:pt idx="155">
                  <c:v>3085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81076</c:v>
                </c:pt>
                <c:pt idx="160">
                  <c:v>136</c:v>
                </c:pt>
                <c:pt idx="161">
                  <c:v>8</c:v>
                </c:pt>
                <c:pt idx="162">
                  <c:v>3112</c:v>
                </c:pt>
                <c:pt idx="163">
                  <c:v>11</c:v>
                </c:pt>
                <c:pt idx="164">
                  <c:v>3447</c:v>
                </c:pt>
                <c:pt idx="165">
                  <c:v>131</c:v>
                </c:pt>
                <c:pt idx="166">
                  <c:v>79739</c:v>
                </c:pt>
                <c:pt idx="167">
                  <c:v>10</c:v>
                </c:pt>
                <c:pt idx="168">
                  <c:v>2</c:v>
                </c:pt>
                <c:pt idx="169">
                  <c:v>105</c:v>
                </c:pt>
                <c:pt idx="170">
                  <c:v>2007726</c:v>
                </c:pt>
                <c:pt idx="171">
                  <c:v>129</c:v>
                </c:pt>
                <c:pt idx="172">
                  <c:v>9</c:v>
                </c:pt>
                <c:pt idx="173">
                  <c:v>141</c:v>
                </c:pt>
                <c:pt idx="174">
                  <c:v>1291626</c:v>
                </c:pt>
                <c:pt idx="175">
                  <c:v>3272</c:v>
                </c:pt>
                <c:pt idx="176">
                  <c:v>113</c:v>
                </c:pt>
                <c:pt idx="177">
                  <c:v>113</c:v>
                </c:pt>
                <c:pt idx="178">
                  <c:v>131</c:v>
                </c:pt>
                <c:pt idx="179">
                  <c:v>124</c:v>
                </c:pt>
                <c:pt idx="180">
                  <c:v>3295</c:v>
                </c:pt>
                <c:pt idx="181">
                  <c:v>2</c:v>
                </c:pt>
                <c:pt idx="182">
                  <c:v>8</c:v>
                </c:pt>
                <c:pt idx="183">
                  <c:v>2</c:v>
                </c:pt>
                <c:pt idx="184">
                  <c:v>3145</c:v>
                </c:pt>
                <c:pt idx="185">
                  <c:v>2</c:v>
                </c:pt>
                <c:pt idx="186">
                  <c:v>3</c:v>
                </c:pt>
                <c:pt idx="187">
                  <c:v>2106</c:v>
                </c:pt>
                <c:pt idx="188">
                  <c:v>102</c:v>
                </c:pt>
                <c:pt idx="189">
                  <c:v>99</c:v>
                </c:pt>
                <c:pt idx="190">
                  <c:v>2</c:v>
                </c:pt>
                <c:pt idx="191">
                  <c:v>2</c:v>
                </c:pt>
                <c:pt idx="192">
                  <c:v>20164527</c:v>
                </c:pt>
                <c:pt idx="193">
                  <c:v>3410</c:v>
                </c:pt>
                <c:pt idx="194">
                  <c:v>2</c:v>
                </c:pt>
                <c:pt idx="195">
                  <c:v>88585</c:v>
                </c:pt>
                <c:pt idx="196">
                  <c:v>5</c:v>
                </c:pt>
                <c:pt idx="197">
                  <c:v>5</c:v>
                </c:pt>
                <c:pt idx="198">
                  <c:v>81235</c:v>
                </c:pt>
                <c:pt idx="199">
                  <c:v>1</c:v>
                </c:pt>
                <c:pt idx="200">
                  <c:v>17</c:v>
                </c:pt>
                <c:pt idx="201">
                  <c:v>112</c:v>
                </c:pt>
                <c:pt idx="202">
                  <c:v>6</c:v>
                </c:pt>
                <c:pt idx="203">
                  <c:v>33602252</c:v>
                </c:pt>
                <c:pt idx="204">
                  <c:v>1</c:v>
                </c:pt>
                <c:pt idx="205">
                  <c:v>120</c:v>
                </c:pt>
                <c:pt idx="206">
                  <c:v>5</c:v>
                </c:pt>
                <c:pt idx="207">
                  <c:v>147</c:v>
                </c:pt>
                <c:pt idx="208">
                  <c:v>12</c:v>
                </c:pt>
                <c:pt idx="209">
                  <c:v>1</c:v>
                </c:pt>
                <c:pt idx="210">
                  <c:v>94</c:v>
                </c:pt>
                <c:pt idx="211">
                  <c:v>1</c:v>
                </c:pt>
                <c:pt idx="212">
                  <c:v>127</c:v>
                </c:pt>
                <c:pt idx="213">
                  <c:v>4</c:v>
                </c:pt>
                <c:pt idx="214">
                  <c:v>3</c:v>
                </c:pt>
                <c:pt idx="215">
                  <c:v>100</c:v>
                </c:pt>
                <c:pt idx="216">
                  <c:v>5</c:v>
                </c:pt>
                <c:pt idx="217">
                  <c:v>51145</c:v>
                </c:pt>
                <c:pt idx="218">
                  <c:v>1</c:v>
                </c:pt>
                <c:pt idx="219">
                  <c:v>109</c:v>
                </c:pt>
                <c:pt idx="220">
                  <c:v>3472</c:v>
                </c:pt>
                <c:pt idx="221">
                  <c:v>3</c:v>
                </c:pt>
                <c:pt idx="222">
                  <c:v>84383</c:v>
                </c:pt>
                <c:pt idx="223">
                  <c:v>5</c:v>
                </c:pt>
                <c:pt idx="224">
                  <c:v>2</c:v>
                </c:pt>
                <c:pt idx="225">
                  <c:v>1</c:v>
                </c:pt>
                <c:pt idx="226">
                  <c:v>2</c:v>
                </c:pt>
                <c:pt idx="227">
                  <c:v>3</c:v>
                </c:pt>
                <c:pt idx="228">
                  <c:v>6</c:v>
                </c:pt>
                <c:pt idx="229">
                  <c:v>9</c:v>
                </c:pt>
                <c:pt idx="230">
                  <c:v>2</c:v>
                </c:pt>
                <c:pt idx="231">
                  <c:v>1</c:v>
                </c:pt>
                <c:pt idx="232">
                  <c:v>13</c:v>
                </c:pt>
                <c:pt idx="233">
                  <c:v>1</c:v>
                </c:pt>
                <c:pt idx="234">
                  <c:v>523344029</c:v>
                </c:pt>
                <c:pt idx="235">
                  <c:v>4</c:v>
                </c:pt>
                <c:pt idx="236">
                  <c:v>2</c:v>
                </c:pt>
                <c:pt idx="237">
                  <c:v>2</c:v>
                </c:pt>
                <c:pt idx="238">
                  <c:v>5</c:v>
                </c:pt>
                <c:pt idx="239">
                  <c:v>105</c:v>
                </c:pt>
                <c:pt idx="240">
                  <c:v>1</c:v>
                </c:pt>
                <c:pt idx="241">
                  <c:v>3</c:v>
                </c:pt>
                <c:pt idx="242">
                  <c:v>3</c:v>
                </c:pt>
                <c:pt idx="243">
                  <c:v>126</c:v>
                </c:pt>
                <c:pt idx="244">
                  <c:v>2</c:v>
                </c:pt>
                <c:pt idx="245">
                  <c:v>1</c:v>
                </c:pt>
                <c:pt idx="246">
                  <c:v>2025163</c:v>
                </c:pt>
                <c:pt idx="247">
                  <c:v>1</c:v>
                </c:pt>
                <c:pt idx="248">
                  <c:v>1</c:v>
                </c:pt>
                <c:pt idx="249">
                  <c:v>2</c:v>
                </c:pt>
                <c:pt idx="250">
                  <c:v>1</c:v>
                </c:pt>
                <c:pt idx="251">
                  <c:v>99</c:v>
                </c:pt>
                <c:pt idx="252">
                  <c:v>1982</c:v>
                </c:pt>
                <c:pt idx="253">
                  <c:v>1</c:v>
                </c:pt>
                <c:pt idx="254">
                  <c:v>8</c:v>
                </c:pt>
                <c:pt idx="255">
                  <c:v>3</c:v>
                </c:pt>
                <c:pt idx="256">
                  <c:v>3284</c:v>
                </c:pt>
                <c:pt idx="257">
                  <c:v>5</c:v>
                </c:pt>
                <c:pt idx="258">
                  <c:v>3</c:v>
                </c:pt>
                <c:pt idx="259">
                  <c:v>81129</c:v>
                </c:pt>
                <c:pt idx="260">
                  <c:v>2</c:v>
                </c:pt>
                <c:pt idx="261">
                  <c:v>2</c:v>
                </c:pt>
                <c:pt idx="262">
                  <c:v>1</c:v>
                </c:pt>
                <c:pt idx="263">
                  <c:v>2</c:v>
                </c:pt>
                <c:pt idx="264">
                  <c:v>2</c:v>
                </c:pt>
                <c:pt idx="265">
                  <c:v>8</c:v>
                </c:pt>
                <c:pt idx="266">
                  <c:v>4</c:v>
                </c:pt>
                <c:pt idx="267">
                  <c:v>156</c:v>
                </c:pt>
                <c:pt idx="268">
                  <c:v>121</c:v>
                </c:pt>
                <c:pt idx="269">
                  <c:v>1</c:v>
                </c:pt>
                <c:pt idx="270">
                  <c:v>163</c:v>
                </c:pt>
                <c:pt idx="271">
                  <c:v>1</c:v>
                </c:pt>
                <c:pt idx="272">
                  <c:v>1</c:v>
                </c:pt>
                <c:pt idx="273">
                  <c:v>8</c:v>
                </c:pt>
                <c:pt idx="274">
                  <c:v>4</c:v>
                </c:pt>
                <c:pt idx="275">
                  <c:v>2</c:v>
                </c:pt>
                <c:pt idx="276">
                  <c:v>2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3</c:v>
                </c:pt>
                <c:pt idx="281">
                  <c:v>1</c:v>
                </c:pt>
                <c:pt idx="282">
                  <c:v>90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6</c:v>
                </c:pt>
                <c:pt idx="289">
                  <c:v>2</c:v>
                </c:pt>
                <c:pt idx="290">
                  <c:v>1</c:v>
                </c:pt>
                <c:pt idx="291">
                  <c:v>8</c:v>
                </c:pt>
                <c:pt idx="292">
                  <c:v>1</c:v>
                </c:pt>
                <c:pt idx="293">
                  <c:v>1</c:v>
                </c:pt>
                <c:pt idx="294">
                  <c:v>6</c:v>
                </c:pt>
                <c:pt idx="295">
                  <c:v>3</c:v>
                </c:pt>
                <c:pt idx="296">
                  <c:v>2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2</c:v>
                </c:pt>
                <c:pt idx="301">
                  <c:v>1</c:v>
                </c:pt>
                <c:pt idx="302">
                  <c:v>3</c:v>
                </c:pt>
                <c:pt idx="303">
                  <c:v>1</c:v>
                </c:pt>
                <c:pt idx="304">
                  <c:v>1</c:v>
                </c:pt>
                <c:pt idx="305">
                  <c:v>3</c:v>
                </c:pt>
                <c:pt idx="306">
                  <c:v>3</c:v>
                </c:pt>
                <c:pt idx="307">
                  <c:v>1</c:v>
                </c:pt>
                <c:pt idx="308">
                  <c:v>2</c:v>
                </c:pt>
                <c:pt idx="309">
                  <c:v>1</c:v>
                </c:pt>
                <c:pt idx="310">
                  <c:v>1</c:v>
                </c:pt>
                <c:pt idx="311">
                  <c:v>3</c:v>
                </c:pt>
                <c:pt idx="312">
                  <c:v>2</c:v>
                </c:pt>
                <c:pt idx="313">
                  <c:v>1</c:v>
                </c:pt>
                <c:pt idx="314">
                  <c:v>1</c:v>
                </c:pt>
                <c:pt idx="315">
                  <c:v>1</c:v>
                </c:pt>
                <c:pt idx="316">
                  <c:v>1</c:v>
                </c:pt>
                <c:pt idx="317">
                  <c:v>2</c:v>
                </c:pt>
                <c:pt idx="318">
                  <c:v>2</c:v>
                </c:pt>
                <c:pt idx="319">
                  <c:v>4</c:v>
                </c:pt>
                <c:pt idx="320">
                  <c:v>1</c:v>
                </c:pt>
                <c:pt idx="321">
                  <c:v>1</c:v>
                </c:pt>
                <c:pt idx="322">
                  <c:v>2</c:v>
                </c:pt>
                <c:pt idx="323">
                  <c:v>1</c:v>
                </c:pt>
                <c:pt idx="324">
                  <c:v>1</c:v>
                </c:pt>
                <c:pt idx="325">
                  <c:v>1992</c:v>
                </c:pt>
                <c:pt idx="326">
                  <c:v>2</c:v>
                </c:pt>
                <c:pt idx="327">
                  <c:v>6</c:v>
                </c:pt>
                <c:pt idx="328">
                  <c:v>6</c:v>
                </c:pt>
                <c:pt idx="329">
                  <c:v>1</c:v>
                </c:pt>
                <c:pt idx="330">
                  <c:v>2</c:v>
                </c:pt>
                <c:pt idx="331">
                  <c:v>1</c:v>
                </c:pt>
                <c:pt idx="332">
                  <c:v>1</c:v>
                </c:pt>
                <c:pt idx="333">
                  <c:v>2</c:v>
                </c:pt>
                <c:pt idx="334">
                  <c:v>3</c:v>
                </c:pt>
                <c:pt idx="335">
                  <c:v>1</c:v>
                </c:pt>
                <c:pt idx="336">
                  <c:v>1</c:v>
                </c:pt>
                <c:pt idx="337">
                  <c:v>6</c:v>
                </c:pt>
                <c:pt idx="338">
                  <c:v>3</c:v>
                </c:pt>
                <c:pt idx="339">
                  <c:v>1</c:v>
                </c:pt>
                <c:pt idx="340">
                  <c:v>2</c:v>
                </c:pt>
                <c:pt idx="341">
                  <c:v>1</c:v>
                </c:pt>
                <c:pt idx="342">
                  <c:v>1</c:v>
                </c:pt>
                <c:pt idx="343">
                  <c:v>3</c:v>
                </c:pt>
                <c:pt idx="344">
                  <c:v>1</c:v>
                </c:pt>
                <c:pt idx="345">
                  <c:v>1</c:v>
                </c:pt>
                <c:pt idx="346">
                  <c:v>3</c:v>
                </c:pt>
                <c:pt idx="347">
                  <c:v>1</c:v>
                </c:pt>
                <c:pt idx="348">
                  <c:v>2</c:v>
                </c:pt>
                <c:pt idx="349">
                  <c:v>2</c:v>
                </c:pt>
                <c:pt idx="350">
                  <c:v>4</c:v>
                </c:pt>
                <c:pt idx="351">
                  <c:v>1</c:v>
                </c:pt>
                <c:pt idx="352">
                  <c:v>1</c:v>
                </c:pt>
                <c:pt idx="353">
                  <c:v>3</c:v>
                </c:pt>
                <c:pt idx="354">
                  <c:v>1</c:v>
                </c:pt>
                <c:pt idx="355">
                  <c:v>1</c:v>
                </c:pt>
                <c:pt idx="356">
                  <c:v>1</c:v>
                </c:pt>
                <c:pt idx="357">
                  <c:v>1</c:v>
                </c:pt>
                <c:pt idx="358">
                  <c:v>1</c:v>
                </c:pt>
                <c:pt idx="359">
                  <c:v>2</c:v>
                </c:pt>
                <c:pt idx="360">
                  <c:v>1</c:v>
                </c:pt>
                <c:pt idx="361">
                  <c:v>1</c:v>
                </c:pt>
                <c:pt idx="362">
                  <c:v>5</c:v>
                </c:pt>
                <c:pt idx="363">
                  <c:v>6</c:v>
                </c:pt>
                <c:pt idx="364">
                  <c:v>1</c:v>
                </c:pt>
                <c:pt idx="365">
                  <c:v>1</c:v>
                </c:pt>
                <c:pt idx="366">
                  <c:v>1</c:v>
                </c:pt>
                <c:pt idx="367">
                  <c:v>3</c:v>
                </c:pt>
                <c:pt idx="368">
                  <c:v>4</c:v>
                </c:pt>
                <c:pt idx="369">
                  <c:v>3</c:v>
                </c:pt>
                <c:pt idx="370">
                  <c:v>2</c:v>
                </c:pt>
                <c:pt idx="371">
                  <c:v>1</c:v>
                </c:pt>
                <c:pt idx="372">
                  <c:v>2</c:v>
                </c:pt>
                <c:pt idx="373">
                  <c:v>1</c:v>
                </c:pt>
                <c:pt idx="374">
                  <c:v>1</c:v>
                </c:pt>
                <c:pt idx="375">
                  <c:v>1</c:v>
                </c:pt>
                <c:pt idx="376">
                  <c:v>1</c:v>
                </c:pt>
                <c:pt idx="377">
                  <c:v>1</c:v>
                </c:pt>
                <c:pt idx="378">
                  <c:v>1</c:v>
                </c:pt>
                <c:pt idx="379">
                  <c:v>1</c:v>
                </c:pt>
                <c:pt idx="380">
                  <c:v>1</c:v>
                </c:pt>
                <c:pt idx="381">
                  <c:v>2</c:v>
                </c:pt>
                <c:pt idx="382">
                  <c:v>1</c:v>
                </c:pt>
                <c:pt idx="383">
                  <c:v>2</c:v>
                </c:pt>
                <c:pt idx="384">
                  <c:v>1</c:v>
                </c:pt>
                <c:pt idx="385">
                  <c:v>2</c:v>
                </c:pt>
                <c:pt idx="386">
                  <c:v>1</c:v>
                </c:pt>
                <c:pt idx="387">
                  <c:v>1</c:v>
                </c:pt>
                <c:pt idx="388">
                  <c:v>2</c:v>
                </c:pt>
                <c:pt idx="389">
                  <c:v>2</c:v>
                </c:pt>
                <c:pt idx="390">
                  <c:v>3</c:v>
                </c:pt>
                <c:pt idx="391">
                  <c:v>1</c:v>
                </c:pt>
                <c:pt idx="392">
                  <c:v>2</c:v>
                </c:pt>
                <c:pt idx="393">
                  <c:v>1</c:v>
                </c:pt>
                <c:pt idx="394">
                  <c:v>3</c:v>
                </c:pt>
                <c:pt idx="395">
                  <c:v>1</c:v>
                </c:pt>
                <c:pt idx="396">
                  <c:v>3</c:v>
                </c:pt>
                <c:pt idx="397">
                  <c:v>1</c:v>
                </c:pt>
                <c:pt idx="398">
                  <c:v>2</c:v>
                </c:pt>
                <c:pt idx="399">
                  <c:v>1</c:v>
                </c:pt>
                <c:pt idx="400">
                  <c:v>1</c:v>
                </c:pt>
                <c:pt idx="401">
                  <c:v>1</c:v>
                </c:pt>
                <c:pt idx="402">
                  <c:v>1</c:v>
                </c:pt>
                <c:pt idx="403">
                  <c:v>1</c:v>
                </c:pt>
                <c:pt idx="404">
                  <c:v>1</c:v>
                </c:pt>
                <c:pt idx="405">
                  <c:v>1</c:v>
                </c:pt>
                <c:pt idx="406">
                  <c:v>4</c:v>
                </c:pt>
                <c:pt idx="407">
                  <c:v>1</c:v>
                </c:pt>
                <c:pt idx="408">
                  <c:v>2</c:v>
                </c:pt>
                <c:pt idx="409">
                  <c:v>1</c:v>
                </c:pt>
                <c:pt idx="410">
                  <c:v>2</c:v>
                </c:pt>
                <c:pt idx="411">
                  <c:v>1</c:v>
                </c:pt>
                <c:pt idx="412">
                  <c:v>2</c:v>
                </c:pt>
                <c:pt idx="413">
                  <c:v>3</c:v>
                </c:pt>
                <c:pt idx="414">
                  <c:v>1</c:v>
                </c:pt>
                <c:pt idx="415">
                  <c:v>2</c:v>
                </c:pt>
                <c:pt idx="416">
                  <c:v>1</c:v>
                </c:pt>
                <c:pt idx="417">
                  <c:v>1</c:v>
                </c:pt>
                <c:pt idx="418">
                  <c:v>2</c:v>
                </c:pt>
                <c:pt idx="419">
                  <c:v>1</c:v>
                </c:pt>
                <c:pt idx="420">
                  <c:v>1</c:v>
                </c:pt>
                <c:pt idx="421">
                  <c:v>1</c:v>
                </c:pt>
                <c:pt idx="422">
                  <c:v>2</c:v>
                </c:pt>
                <c:pt idx="423">
                  <c:v>2</c:v>
                </c:pt>
                <c:pt idx="424">
                  <c:v>1</c:v>
                </c:pt>
                <c:pt idx="425">
                  <c:v>1</c:v>
                </c:pt>
                <c:pt idx="426">
                  <c:v>1</c:v>
                </c:pt>
                <c:pt idx="427">
                  <c:v>1</c:v>
                </c:pt>
                <c:pt idx="428">
                  <c:v>1</c:v>
                </c:pt>
                <c:pt idx="429">
                  <c:v>2</c:v>
                </c:pt>
                <c:pt idx="430">
                  <c:v>1</c:v>
                </c:pt>
                <c:pt idx="431">
                  <c:v>1</c:v>
                </c:pt>
                <c:pt idx="432">
                  <c:v>1</c:v>
                </c:pt>
                <c:pt idx="433">
                  <c:v>1</c:v>
                </c:pt>
                <c:pt idx="434">
                  <c:v>1</c:v>
                </c:pt>
                <c:pt idx="435">
                  <c:v>1</c:v>
                </c:pt>
                <c:pt idx="436">
                  <c:v>1</c:v>
                </c:pt>
                <c:pt idx="437">
                  <c:v>2</c:v>
                </c:pt>
                <c:pt idx="438">
                  <c:v>3</c:v>
                </c:pt>
                <c:pt idx="439">
                  <c:v>3</c:v>
                </c:pt>
                <c:pt idx="440">
                  <c:v>1</c:v>
                </c:pt>
                <c:pt idx="441">
                  <c:v>1</c:v>
                </c:pt>
                <c:pt idx="442">
                  <c:v>2</c:v>
                </c:pt>
                <c:pt idx="443">
                  <c:v>1</c:v>
                </c:pt>
                <c:pt idx="444">
                  <c:v>1</c:v>
                </c:pt>
                <c:pt idx="445">
                  <c:v>3</c:v>
                </c:pt>
                <c:pt idx="446">
                  <c:v>1</c:v>
                </c:pt>
                <c:pt idx="447">
                  <c:v>1</c:v>
                </c:pt>
                <c:pt idx="448">
                  <c:v>3</c:v>
                </c:pt>
                <c:pt idx="449">
                  <c:v>1</c:v>
                </c:pt>
                <c:pt idx="450">
                  <c:v>1</c:v>
                </c:pt>
                <c:pt idx="451">
                  <c:v>2</c:v>
                </c:pt>
                <c:pt idx="452">
                  <c:v>1</c:v>
                </c:pt>
                <c:pt idx="453">
                  <c:v>1</c:v>
                </c:pt>
                <c:pt idx="454">
                  <c:v>1</c:v>
                </c:pt>
                <c:pt idx="455">
                  <c:v>1</c:v>
                </c:pt>
                <c:pt idx="456">
                  <c:v>1</c:v>
                </c:pt>
                <c:pt idx="457">
                  <c:v>1</c:v>
                </c:pt>
                <c:pt idx="458">
                  <c:v>1</c:v>
                </c:pt>
                <c:pt idx="459">
                  <c:v>1</c:v>
                </c:pt>
                <c:pt idx="460">
                  <c:v>1</c:v>
                </c:pt>
                <c:pt idx="461">
                  <c:v>1</c:v>
                </c:pt>
                <c:pt idx="462">
                  <c:v>1</c:v>
                </c:pt>
                <c:pt idx="463">
                  <c:v>1</c:v>
                </c:pt>
                <c:pt idx="464">
                  <c:v>2</c:v>
                </c:pt>
                <c:pt idx="465">
                  <c:v>1</c:v>
                </c:pt>
                <c:pt idx="466">
                  <c:v>1</c:v>
                </c:pt>
                <c:pt idx="467">
                  <c:v>1</c:v>
                </c:pt>
                <c:pt idx="468">
                  <c:v>1</c:v>
                </c:pt>
                <c:pt idx="469">
                  <c:v>3</c:v>
                </c:pt>
                <c:pt idx="470">
                  <c:v>2</c:v>
                </c:pt>
                <c:pt idx="471">
                  <c:v>1</c:v>
                </c:pt>
                <c:pt idx="472">
                  <c:v>1</c:v>
                </c:pt>
                <c:pt idx="473">
                  <c:v>1</c:v>
                </c:pt>
                <c:pt idx="474">
                  <c:v>1</c:v>
                </c:pt>
                <c:pt idx="475">
                  <c:v>1</c:v>
                </c:pt>
                <c:pt idx="476">
                  <c:v>2</c:v>
                </c:pt>
                <c:pt idx="477">
                  <c:v>1</c:v>
                </c:pt>
                <c:pt idx="478">
                  <c:v>1</c:v>
                </c:pt>
              </c:numCache>
            </c:numRef>
          </c:yVal>
          <c:smooth val="0"/>
        </c:ser>
        <c:ser>
          <c:idx val="1"/>
          <c:order val="1"/>
          <c:tx>
            <c:v>Solutions</c:v>
          </c:tx>
          <c:spPr>
            <a:ln w="25400" cap="rnd">
              <a:noFill/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triangle"/>
            <c:size val="6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'Bombe data'!$A$5:$A$483</c:f>
              <c:numCache>
                <c:formatCode>General</c:formatCode>
                <c:ptCount val="47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21</c:v>
                </c:pt>
                <c:pt idx="30">
                  <c:v>21</c:v>
                </c:pt>
                <c:pt idx="31">
                  <c:v>21</c:v>
                </c:pt>
                <c:pt idx="32">
                  <c:v>21</c:v>
                </c:pt>
                <c:pt idx="33">
                  <c:v>21</c:v>
                </c:pt>
                <c:pt idx="34">
                  <c:v>21</c:v>
                </c:pt>
                <c:pt idx="35">
                  <c:v>21</c:v>
                </c:pt>
                <c:pt idx="36">
                  <c:v>21</c:v>
                </c:pt>
                <c:pt idx="37">
                  <c:v>21</c:v>
                </c:pt>
                <c:pt idx="38">
                  <c:v>21</c:v>
                </c:pt>
                <c:pt idx="39">
                  <c:v>21</c:v>
                </c:pt>
                <c:pt idx="40">
                  <c:v>21</c:v>
                </c:pt>
                <c:pt idx="41">
                  <c:v>21</c:v>
                </c:pt>
                <c:pt idx="42">
                  <c:v>21</c:v>
                </c:pt>
                <c:pt idx="43">
                  <c:v>21</c:v>
                </c:pt>
                <c:pt idx="44">
                  <c:v>21</c:v>
                </c:pt>
                <c:pt idx="45">
                  <c:v>21</c:v>
                </c:pt>
                <c:pt idx="46">
                  <c:v>21</c:v>
                </c:pt>
                <c:pt idx="47">
                  <c:v>21</c:v>
                </c:pt>
                <c:pt idx="48">
                  <c:v>21</c:v>
                </c:pt>
                <c:pt idx="49">
                  <c:v>21</c:v>
                </c:pt>
                <c:pt idx="50">
                  <c:v>21</c:v>
                </c:pt>
                <c:pt idx="51">
                  <c:v>21</c:v>
                </c:pt>
                <c:pt idx="52">
                  <c:v>21</c:v>
                </c:pt>
                <c:pt idx="53">
                  <c:v>21</c:v>
                </c:pt>
                <c:pt idx="54">
                  <c:v>21</c:v>
                </c:pt>
                <c:pt idx="55">
                  <c:v>21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22</c:v>
                </c:pt>
                <c:pt idx="60">
                  <c:v>22</c:v>
                </c:pt>
                <c:pt idx="61">
                  <c:v>22</c:v>
                </c:pt>
                <c:pt idx="62">
                  <c:v>22</c:v>
                </c:pt>
                <c:pt idx="63">
                  <c:v>22</c:v>
                </c:pt>
                <c:pt idx="64">
                  <c:v>22</c:v>
                </c:pt>
                <c:pt idx="65">
                  <c:v>22</c:v>
                </c:pt>
                <c:pt idx="66">
                  <c:v>22</c:v>
                </c:pt>
                <c:pt idx="67">
                  <c:v>22</c:v>
                </c:pt>
                <c:pt idx="68">
                  <c:v>22</c:v>
                </c:pt>
                <c:pt idx="69">
                  <c:v>22</c:v>
                </c:pt>
                <c:pt idx="70">
                  <c:v>22</c:v>
                </c:pt>
                <c:pt idx="71">
                  <c:v>22</c:v>
                </c:pt>
                <c:pt idx="72">
                  <c:v>22</c:v>
                </c:pt>
                <c:pt idx="73">
                  <c:v>22</c:v>
                </c:pt>
                <c:pt idx="74">
                  <c:v>22</c:v>
                </c:pt>
                <c:pt idx="75">
                  <c:v>22</c:v>
                </c:pt>
                <c:pt idx="76">
                  <c:v>22</c:v>
                </c:pt>
                <c:pt idx="77">
                  <c:v>22</c:v>
                </c:pt>
                <c:pt idx="78">
                  <c:v>22</c:v>
                </c:pt>
                <c:pt idx="79">
                  <c:v>22</c:v>
                </c:pt>
                <c:pt idx="80">
                  <c:v>22</c:v>
                </c:pt>
                <c:pt idx="81">
                  <c:v>22</c:v>
                </c:pt>
                <c:pt idx="82">
                  <c:v>22</c:v>
                </c:pt>
                <c:pt idx="83">
                  <c:v>22</c:v>
                </c:pt>
                <c:pt idx="84">
                  <c:v>22</c:v>
                </c:pt>
                <c:pt idx="85">
                  <c:v>22</c:v>
                </c:pt>
                <c:pt idx="86">
                  <c:v>22</c:v>
                </c:pt>
                <c:pt idx="87">
                  <c:v>22</c:v>
                </c:pt>
                <c:pt idx="88">
                  <c:v>22</c:v>
                </c:pt>
                <c:pt idx="89">
                  <c:v>23</c:v>
                </c:pt>
                <c:pt idx="90">
                  <c:v>23</c:v>
                </c:pt>
                <c:pt idx="91">
                  <c:v>23</c:v>
                </c:pt>
                <c:pt idx="92">
                  <c:v>23</c:v>
                </c:pt>
                <c:pt idx="93">
                  <c:v>23</c:v>
                </c:pt>
                <c:pt idx="94">
                  <c:v>23</c:v>
                </c:pt>
                <c:pt idx="95">
                  <c:v>23</c:v>
                </c:pt>
                <c:pt idx="96">
                  <c:v>23</c:v>
                </c:pt>
                <c:pt idx="97">
                  <c:v>23</c:v>
                </c:pt>
                <c:pt idx="98">
                  <c:v>23</c:v>
                </c:pt>
                <c:pt idx="99">
                  <c:v>23</c:v>
                </c:pt>
                <c:pt idx="100">
                  <c:v>23</c:v>
                </c:pt>
                <c:pt idx="101">
                  <c:v>23</c:v>
                </c:pt>
                <c:pt idx="102">
                  <c:v>23</c:v>
                </c:pt>
                <c:pt idx="103">
                  <c:v>23</c:v>
                </c:pt>
                <c:pt idx="104">
                  <c:v>23</c:v>
                </c:pt>
                <c:pt idx="105">
                  <c:v>23</c:v>
                </c:pt>
                <c:pt idx="106">
                  <c:v>23</c:v>
                </c:pt>
                <c:pt idx="107">
                  <c:v>23</c:v>
                </c:pt>
                <c:pt idx="108">
                  <c:v>23</c:v>
                </c:pt>
                <c:pt idx="109">
                  <c:v>23</c:v>
                </c:pt>
                <c:pt idx="110">
                  <c:v>23</c:v>
                </c:pt>
                <c:pt idx="111">
                  <c:v>23</c:v>
                </c:pt>
                <c:pt idx="112">
                  <c:v>23</c:v>
                </c:pt>
                <c:pt idx="113">
                  <c:v>23</c:v>
                </c:pt>
                <c:pt idx="114">
                  <c:v>23</c:v>
                </c:pt>
                <c:pt idx="115">
                  <c:v>23</c:v>
                </c:pt>
                <c:pt idx="116">
                  <c:v>23</c:v>
                </c:pt>
                <c:pt idx="117">
                  <c:v>23</c:v>
                </c:pt>
                <c:pt idx="118">
                  <c:v>23</c:v>
                </c:pt>
                <c:pt idx="119">
                  <c:v>24</c:v>
                </c:pt>
                <c:pt idx="120">
                  <c:v>24</c:v>
                </c:pt>
                <c:pt idx="121">
                  <c:v>24</c:v>
                </c:pt>
                <c:pt idx="122">
                  <c:v>24</c:v>
                </c:pt>
                <c:pt idx="123">
                  <c:v>24</c:v>
                </c:pt>
                <c:pt idx="124">
                  <c:v>24</c:v>
                </c:pt>
                <c:pt idx="125">
                  <c:v>24</c:v>
                </c:pt>
                <c:pt idx="126">
                  <c:v>24</c:v>
                </c:pt>
                <c:pt idx="127">
                  <c:v>24</c:v>
                </c:pt>
                <c:pt idx="128">
                  <c:v>24</c:v>
                </c:pt>
                <c:pt idx="129">
                  <c:v>24</c:v>
                </c:pt>
                <c:pt idx="130">
                  <c:v>24</c:v>
                </c:pt>
                <c:pt idx="131">
                  <c:v>24</c:v>
                </c:pt>
                <c:pt idx="132">
                  <c:v>24</c:v>
                </c:pt>
                <c:pt idx="133">
                  <c:v>24</c:v>
                </c:pt>
                <c:pt idx="134">
                  <c:v>24</c:v>
                </c:pt>
                <c:pt idx="135">
                  <c:v>24</c:v>
                </c:pt>
                <c:pt idx="136">
                  <c:v>24</c:v>
                </c:pt>
                <c:pt idx="137">
                  <c:v>24</c:v>
                </c:pt>
                <c:pt idx="138">
                  <c:v>24</c:v>
                </c:pt>
                <c:pt idx="139">
                  <c:v>24</c:v>
                </c:pt>
                <c:pt idx="140">
                  <c:v>24</c:v>
                </c:pt>
                <c:pt idx="141">
                  <c:v>24</c:v>
                </c:pt>
                <c:pt idx="142">
                  <c:v>24</c:v>
                </c:pt>
                <c:pt idx="143">
                  <c:v>24</c:v>
                </c:pt>
                <c:pt idx="144">
                  <c:v>24</c:v>
                </c:pt>
                <c:pt idx="145">
                  <c:v>24</c:v>
                </c:pt>
                <c:pt idx="146">
                  <c:v>24</c:v>
                </c:pt>
                <c:pt idx="147">
                  <c:v>24</c:v>
                </c:pt>
                <c:pt idx="148">
                  <c:v>24</c:v>
                </c:pt>
                <c:pt idx="149">
                  <c:v>25</c:v>
                </c:pt>
                <c:pt idx="150">
                  <c:v>25</c:v>
                </c:pt>
                <c:pt idx="151">
                  <c:v>25</c:v>
                </c:pt>
                <c:pt idx="152">
                  <c:v>25</c:v>
                </c:pt>
                <c:pt idx="153">
                  <c:v>25</c:v>
                </c:pt>
                <c:pt idx="154">
                  <c:v>25</c:v>
                </c:pt>
                <c:pt idx="155">
                  <c:v>25</c:v>
                </c:pt>
                <c:pt idx="156">
                  <c:v>25</c:v>
                </c:pt>
                <c:pt idx="157">
                  <c:v>25</c:v>
                </c:pt>
                <c:pt idx="158">
                  <c:v>25</c:v>
                </c:pt>
                <c:pt idx="159">
                  <c:v>25</c:v>
                </c:pt>
                <c:pt idx="160">
                  <c:v>25</c:v>
                </c:pt>
                <c:pt idx="161">
                  <c:v>25</c:v>
                </c:pt>
                <c:pt idx="162">
                  <c:v>25</c:v>
                </c:pt>
                <c:pt idx="163">
                  <c:v>25</c:v>
                </c:pt>
                <c:pt idx="164">
                  <c:v>25</c:v>
                </c:pt>
                <c:pt idx="165">
                  <c:v>25</c:v>
                </c:pt>
                <c:pt idx="166">
                  <c:v>25</c:v>
                </c:pt>
                <c:pt idx="167">
                  <c:v>25</c:v>
                </c:pt>
                <c:pt idx="168">
                  <c:v>25</c:v>
                </c:pt>
                <c:pt idx="169">
                  <c:v>25</c:v>
                </c:pt>
                <c:pt idx="170">
                  <c:v>25</c:v>
                </c:pt>
                <c:pt idx="171">
                  <c:v>25</c:v>
                </c:pt>
                <c:pt idx="172">
                  <c:v>25</c:v>
                </c:pt>
                <c:pt idx="173">
                  <c:v>25</c:v>
                </c:pt>
                <c:pt idx="174">
                  <c:v>25</c:v>
                </c:pt>
                <c:pt idx="175">
                  <c:v>25</c:v>
                </c:pt>
                <c:pt idx="176">
                  <c:v>25</c:v>
                </c:pt>
                <c:pt idx="177">
                  <c:v>25</c:v>
                </c:pt>
                <c:pt idx="178">
                  <c:v>25</c:v>
                </c:pt>
                <c:pt idx="179">
                  <c:v>26</c:v>
                </c:pt>
                <c:pt idx="180">
                  <c:v>26</c:v>
                </c:pt>
                <c:pt idx="181">
                  <c:v>26</c:v>
                </c:pt>
                <c:pt idx="182">
                  <c:v>26</c:v>
                </c:pt>
                <c:pt idx="183">
                  <c:v>26</c:v>
                </c:pt>
                <c:pt idx="184">
                  <c:v>26</c:v>
                </c:pt>
                <c:pt idx="185">
                  <c:v>26</c:v>
                </c:pt>
                <c:pt idx="186">
                  <c:v>26</c:v>
                </c:pt>
                <c:pt idx="187">
                  <c:v>26</c:v>
                </c:pt>
                <c:pt idx="188">
                  <c:v>26</c:v>
                </c:pt>
                <c:pt idx="189">
                  <c:v>26</c:v>
                </c:pt>
                <c:pt idx="190">
                  <c:v>26</c:v>
                </c:pt>
                <c:pt idx="191">
                  <c:v>26</c:v>
                </c:pt>
                <c:pt idx="192">
                  <c:v>26</c:v>
                </c:pt>
                <c:pt idx="193">
                  <c:v>26</c:v>
                </c:pt>
                <c:pt idx="194">
                  <c:v>26</c:v>
                </c:pt>
                <c:pt idx="195">
                  <c:v>26</c:v>
                </c:pt>
                <c:pt idx="196">
                  <c:v>26</c:v>
                </c:pt>
                <c:pt idx="197">
                  <c:v>26</c:v>
                </c:pt>
                <c:pt idx="198">
                  <c:v>26</c:v>
                </c:pt>
                <c:pt idx="199">
                  <c:v>26</c:v>
                </c:pt>
                <c:pt idx="200">
                  <c:v>26</c:v>
                </c:pt>
                <c:pt idx="201">
                  <c:v>26</c:v>
                </c:pt>
                <c:pt idx="202">
                  <c:v>26</c:v>
                </c:pt>
                <c:pt idx="203">
                  <c:v>26</c:v>
                </c:pt>
                <c:pt idx="204">
                  <c:v>26</c:v>
                </c:pt>
                <c:pt idx="205">
                  <c:v>26</c:v>
                </c:pt>
                <c:pt idx="206">
                  <c:v>26</c:v>
                </c:pt>
                <c:pt idx="207">
                  <c:v>26</c:v>
                </c:pt>
                <c:pt idx="208">
                  <c:v>26</c:v>
                </c:pt>
                <c:pt idx="209">
                  <c:v>27</c:v>
                </c:pt>
                <c:pt idx="210">
                  <c:v>27</c:v>
                </c:pt>
                <c:pt idx="211">
                  <c:v>27</c:v>
                </c:pt>
                <c:pt idx="212">
                  <c:v>27</c:v>
                </c:pt>
                <c:pt idx="213">
                  <c:v>27</c:v>
                </c:pt>
                <c:pt idx="214">
                  <c:v>27</c:v>
                </c:pt>
                <c:pt idx="215">
                  <c:v>27</c:v>
                </c:pt>
                <c:pt idx="216">
                  <c:v>27</c:v>
                </c:pt>
                <c:pt idx="217">
                  <c:v>27</c:v>
                </c:pt>
                <c:pt idx="218">
                  <c:v>27</c:v>
                </c:pt>
                <c:pt idx="219">
                  <c:v>27</c:v>
                </c:pt>
                <c:pt idx="220">
                  <c:v>27</c:v>
                </c:pt>
                <c:pt idx="221">
                  <c:v>27</c:v>
                </c:pt>
                <c:pt idx="222">
                  <c:v>27</c:v>
                </c:pt>
                <c:pt idx="223">
                  <c:v>27</c:v>
                </c:pt>
                <c:pt idx="224">
                  <c:v>27</c:v>
                </c:pt>
                <c:pt idx="225">
                  <c:v>27</c:v>
                </c:pt>
                <c:pt idx="226">
                  <c:v>27</c:v>
                </c:pt>
                <c:pt idx="227">
                  <c:v>27</c:v>
                </c:pt>
                <c:pt idx="228">
                  <c:v>27</c:v>
                </c:pt>
                <c:pt idx="229">
                  <c:v>27</c:v>
                </c:pt>
                <c:pt idx="230">
                  <c:v>27</c:v>
                </c:pt>
                <c:pt idx="231">
                  <c:v>27</c:v>
                </c:pt>
                <c:pt idx="232">
                  <c:v>27</c:v>
                </c:pt>
                <c:pt idx="233">
                  <c:v>27</c:v>
                </c:pt>
                <c:pt idx="234">
                  <c:v>27</c:v>
                </c:pt>
                <c:pt idx="235">
                  <c:v>27</c:v>
                </c:pt>
                <c:pt idx="236">
                  <c:v>27</c:v>
                </c:pt>
                <c:pt idx="237">
                  <c:v>27</c:v>
                </c:pt>
                <c:pt idx="238">
                  <c:v>27</c:v>
                </c:pt>
                <c:pt idx="239">
                  <c:v>28</c:v>
                </c:pt>
                <c:pt idx="240">
                  <c:v>28</c:v>
                </c:pt>
                <c:pt idx="241">
                  <c:v>28</c:v>
                </c:pt>
                <c:pt idx="242">
                  <c:v>28</c:v>
                </c:pt>
                <c:pt idx="243">
                  <c:v>28</c:v>
                </c:pt>
                <c:pt idx="244">
                  <c:v>28</c:v>
                </c:pt>
                <c:pt idx="245">
                  <c:v>28</c:v>
                </c:pt>
                <c:pt idx="246">
                  <c:v>28</c:v>
                </c:pt>
                <c:pt idx="247">
                  <c:v>28</c:v>
                </c:pt>
                <c:pt idx="248">
                  <c:v>28</c:v>
                </c:pt>
                <c:pt idx="249">
                  <c:v>28</c:v>
                </c:pt>
                <c:pt idx="250">
                  <c:v>28</c:v>
                </c:pt>
                <c:pt idx="251">
                  <c:v>28</c:v>
                </c:pt>
                <c:pt idx="252">
                  <c:v>28</c:v>
                </c:pt>
                <c:pt idx="253">
                  <c:v>28</c:v>
                </c:pt>
                <c:pt idx="254">
                  <c:v>28</c:v>
                </c:pt>
                <c:pt idx="255">
                  <c:v>28</c:v>
                </c:pt>
                <c:pt idx="256">
                  <c:v>28</c:v>
                </c:pt>
                <c:pt idx="257">
                  <c:v>28</c:v>
                </c:pt>
                <c:pt idx="258">
                  <c:v>28</c:v>
                </c:pt>
                <c:pt idx="259">
                  <c:v>28</c:v>
                </c:pt>
                <c:pt idx="260">
                  <c:v>28</c:v>
                </c:pt>
                <c:pt idx="261">
                  <c:v>28</c:v>
                </c:pt>
                <c:pt idx="262">
                  <c:v>28</c:v>
                </c:pt>
                <c:pt idx="263">
                  <c:v>28</c:v>
                </c:pt>
                <c:pt idx="264">
                  <c:v>28</c:v>
                </c:pt>
                <c:pt idx="265">
                  <c:v>28</c:v>
                </c:pt>
                <c:pt idx="266">
                  <c:v>28</c:v>
                </c:pt>
                <c:pt idx="267">
                  <c:v>28</c:v>
                </c:pt>
                <c:pt idx="268">
                  <c:v>28</c:v>
                </c:pt>
                <c:pt idx="269">
                  <c:v>29</c:v>
                </c:pt>
                <c:pt idx="270">
                  <c:v>29</c:v>
                </c:pt>
                <c:pt idx="271">
                  <c:v>29</c:v>
                </c:pt>
                <c:pt idx="272">
                  <c:v>29</c:v>
                </c:pt>
                <c:pt idx="273">
                  <c:v>29</c:v>
                </c:pt>
                <c:pt idx="274">
                  <c:v>29</c:v>
                </c:pt>
                <c:pt idx="275">
                  <c:v>29</c:v>
                </c:pt>
                <c:pt idx="276">
                  <c:v>29</c:v>
                </c:pt>
                <c:pt idx="277">
                  <c:v>29</c:v>
                </c:pt>
                <c:pt idx="278">
                  <c:v>29</c:v>
                </c:pt>
                <c:pt idx="279">
                  <c:v>29</c:v>
                </c:pt>
                <c:pt idx="280">
                  <c:v>29</c:v>
                </c:pt>
                <c:pt idx="281">
                  <c:v>29</c:v>
                </c:pt>
                <c:pt idx="282">
                  <c:v>29</c:v>
                </c:pt>
                <c:pt idx="283">
                  <c:v>29</c:v>
                </c:pt>
                <c:pt idx="284">
                  <c:v>29</c:v>
                </c:pt>
                <c:pt idx="285">
                  <c:v>29</c:v>
                </c:pt>
                <c:pt idx="286">
                  <c:v>29</c:v>
                </c:pt>
                <c:pt idx="287">
                  <c:v>29</c:v>
                </c:pt>
                <c:pt idx="288">
                  <c:v>29</c:v>
                </c:pt>
                <c:pt idx="289">
                  <c:v>29</c:v>
                </c:pt>
                <c:pt idx="290">
                  <c:v>29</c:v>
                </c:pt>
                <c:pt idx="291">
                  <c:v>29</c:v>
                </c:pt>
                <c:pt idx="292">
                  <c:v>29</c:v>
                </c:pt>
                <c:pt idx="293">
                  <c:v>29</c:v>
                </c:pt>
                <c:pt idx="294">
                  <c:v>29</c:v>
                </c:pt>
                <c:pt idx="295">
                  <c:v>29</c:v>
                </c:pt>
                <c:pt idx="296">
                  <c:v>29</c:v>
                </c:pt>
                <c:pt idx="297">
                  <c:v>29</c:v>
                </c:pt>
                <c:pt idx="298">
                  <c:v>29</c:v>
                </c:pt>
                <c:pt idx="299">
                  <c:v>30</c:v>
                </c:pt>
                <c:pt idx="300">
                  <c:v>30</c:v>
                </c:pt>
                <c:pt idx="301">
                  <c:v>30</c:v>
                </c:pt>
                <c:pt idx="302">
                  <c:v>30</c:v>
                </c:pt>
                <c:pt idx="303">
                  <c:v>30</c:v>
                </c:pt>
                <c:pt idx="304">
                  <c:v>30</c:v>
                </c:pt>
                <c:pt idx="305">
                  <c:v>30</c:v>
                </c:pt>
                <c:pt idx="306">
                  <c:v>30</c:v>
                </c:pt>
                <c:pt idx="307">
                  <c:v>30</c:v>
                </c:pt>
                <c:pt idx="308">
                  <c:v>30</c:v>
                </c:pt>
                <c:pt idx="309">
                  <c:v>30</c:v>
                </c:pt>
                <c:pt idx="310">
                  <c:v>30</c:v>
                </c:pt>
                <c:pt idx="311">
                  <c:v>30</c:v>
                </c:pt>
                <c:pt idx="312">
                  <c:v>30</c:v>
                </c:pt>
                <c:pt idx="313">
                  <c:v>30</c:v>
                </c:pt>
                <c:pt idx="314">
                  <c:v>30</c:v>
                </c:pt>
                <c:pt idx="315">
                  <c:v>30</c:v>
                </c:pt>
                <c:pt idx="316">
                  <c:v>30</c:v>
                </c:pt>
                <c:pt idx="317">
                  <c:v>30</c:v>
                </c:pt>
                <c:pt idx="318">
                  <c:v>30</c:v>
                </c:pt>
                <c:pt idx="319">
                  <c:v>30</c:v>
                </c:pt>
                <c:pt idx="320">
                  <c:v>30</c:v>
                </c:pt>
                <c:pt idx="321">
                  <c:v>30</c:v>
                </c:pt>
                <c:pt idx="322">
                  <c:v>30</c:v>
                </c:pt>
                <c:pt idx="323">
                  <c:v>30</c:v>
                </c:pt>
                <c:pt idx="324">
                  <c:v>30</c:v>
                </c:pt>
                <c:pt idx="325">
                  <c:v>30</c:v>
                </c:pt>
                <c:pt idx="326">
                  <c:v>30</c:v>
                </c:pt>
                <c:pt idx="327">
                  <c:v>30</c:v>
                </c:pt>
                <c:pt idx="328">
                  <c:v>30</c:v>
                </c:pt>
                <c:pt idx="329">
                  <c:v>31</c:v>
                </c:pt>
                <c:pt idx="330">
                  <c:v>31</c:v>
                </c:pt>
                <c:pt idx="331">
                  <c:v>31</c:v>
                </c:pt>
                <c:pt idx="332">
                  <c:v>31</c:v>
                </c:pt>
                <c:pt idx="333">
                  <c:v>31</c:v>
                </c:pt>
                <c:pt idx="334">
                  <c:v>31</c:v>
                </c:pt>
                <c:pt idx="335">
                  <c:v>31</c:v>
                </c:pt>
                <c:pt idx="336">
                  <c:v>31</c:v>
                </c:pt>
                <c:pt idx="337">
                  <c:v>31</c:v>
                </c:pt>
                <c:pt idx="338">
                  <c:v>31</c:v>
                </c:pt>
                <c:pt idx="339">
                  <c:v>31</c:v>
                </c:pt>
                <c:pt idx="340">
                  <c:v>31</c:v>
                </c:pt>
                <c:pt idx="341">
                  <c:v>31</c:v>
                </c:pt>
                <c:pt idx="342">
                  <c:v>31</c:v>
                </c:pt>
                <c:pt idx="343">
                  <c:v>31</c:v>
                </c:pt>
                <c:pt idx="344">
                  <c:v>31</c:v>
                </c:pt>
                <c:pt idx="345">
                  <c:v>31</c:v>
                </c:pt>
                <c:pt idx="346">
                  <c:v>31</c:v>
                </c:pt>
                <c:pt idx="347">
                  <c:v>31</c:v>
                </c:pt>
                <c:pt idx="348">
                  <c:v>31</c:v>
                </c:pt>
                <c:pt idx="349">
                  <c:v>31</c:v>
                </c:pt>
                <c:pt idx="350">
                  <c:v>31</c:v>
                </c:pt>
                <c:pt idx="351">
                  <c:v>31</c:v>
                </c:pt>
                <c:pt idx="352">
                  <c:v>31</c:v>
                </c:pt>
                <c:pt idx="353">
                  <c:v>31</c:v>
                </c:pt>
                <c:pt idx="354">
                  <c:v>31</c:v>
                </c:pt>
                <c:pt idx="355">
                  <c:v>31</c:v>
                </c:pt>
                <c:pt idx="356">
                  <c:v>31</c:v>
                </c:pt>
                <c:pt idx="357">
                  <c:v>31</c:v>
                </c:pt>
                <c:pt idx="358">
                  <c:v>31</c:v>
                </c:pt>
                <c:pt idx="359">
                  <c:v>32</c:v>
                </c:pt>
                <c:pt idx="360">
                  <c:v>32</c:v>
                </c:pt>
                <c:pt idx="361">
                  <c:v>32</c:v>
                </c:pt>
                <c:pt idx="362">
                  <c:v>32</c:v>
                </c:pt>
                <c:pt idx="363">
                  <c:v>32</c:v>
                </c:pt>
                <c:pt idx="364">
                  <c:v>32</c:v>
                </c:pt>
                <c:pt idx="365">
                  <c:v>32</c:v>
                </c:pt>
                <c:pt idx="366">
                  <c:v>32</c:v>
                </c:pt>
                <c:pt idx="367">
                  <c:v>32</c:v>
                </c:pt>
                <c:pt idx="368">
                  <c:v>32</c:v>
                </c:pt>
                <c:pt idx="369">
                  <c:v>32</c:v>
                </c:pt>
                <c:pt idx="370">
                  <c:v>32</c:v>
                </c:pt>
                <c:pt idx="371">
                  <c:v>32</c:v>
                </c:pt>
                <c:pt idx="372">
                  <c:v>32</c:v>
                </c:pt>
                <c:pt idx="373">
                  <c:v>32</c:v>
                </c:pt>
                <c:pt idx="374">
                  <c:v>32</c:v>
                </c:pt>
                <c:pt idx="375">
                  <c:v>32</c:v>
                </c:pt>
                <c:pt idx="376">
                  <c:v>32</c:v>
                </c:pt>
                <c:pt idx="377">
                  <c:v>32</c:v>
                </c:pt>
                <c:pt idx="378">
                  <c:v>32</c:v>
                </c:pt>
                <c:pt idx="379">
                  <c:v>32</c:v>
                </c:pt>
                <c:pt idx="380">
                  <c:v>32</c:v>
                </c:pt>
                <c:pt idx="381">
                  <c:v>32</c:v>
                </c:pt>
                <c:pt idx="382">
                  <c:v>32</c:v>
                </c:pt>
                <c:pt idx="383">
                  <c:v>32</c:v>
                </c:pt>
                <c:pt idx="384">
                  <c:v>32</c:v>
                </c:pt>
                <c:pt idx="385">
                  <c:v>32</c:v>
                </c:pt>
                <c:pt idx="386">
                  <c:v>32</c:v>
                </c:pt>
                <c:pt idx="387">
                  <c:v>32</c:v>
                </c:pt>
                <c:pt idx="388">
                  <c:v>32</c:v>
                </c:pt>
                <c:pt idx="389">
                  <c:v>33</c:v>
                </c:pt>
                <c:pt idx="390">
                  <c:v>33</c:v>
                </c:pt>
                <c:pt idx="391">
                  <c:v>33</c:v>
                </c:pt>
                <c:pt idx="392">
                  <c:v>33</c:v>
                </c:pt>
                <c:pt idx="393">
                  <c:v>33</c:v>
                </c:pt>
                <c:pt idx="394">
                  <c:v>33</c:v>
                </c:pt>
                <c:pt idx="395">
                  <c:v>33</c:v>
                </c:pt>
                <c:pt idx="396">
                  <c:v>33</c:v>
                </c:pt>
                <c:pt idx="397">
                  <c:v>33</c:v>
                </c:pt>
                <c:pt idx="398">
                  <c:v>33</c:v>
                </c:pt>
                <c:pt idx="399">
                  <c:v>33</c:v>
                </c:pt>
                <c:pt idx="400">
                  <c:v>33</c:v>
                </c:pt>
                <c:pt idx="401">
                  <c:v>33</c:v>
                </c:pt>
                <c:pt idx="402">
                  <c:v>33</c:v>
                </c:pt>
                <c:pt idx="403">
                  <c:v>33</c:v>
                </c:pt>
                <c:pt idx="404">
                  <c:v>33</c:v>
                </c:pt>
                <c:pt idx="405">
                  <c:v>33</c:v>
                </c:pt>
                <c:pt idx="406">
                  <c:v>33</c:v>
                </c:pt>
                <c:pt idx="407">
                  <c:v>33</c:v>
                </c:pt>
                <c:pt idx="408">
                  <c:v>33</c:v>
                </c:pt>
                <c:pt idx="409">
                  <c:v>33</c:v>
                </c:pt>
                <c:pt idx="410">
                  <c:v>33</c:v>
                </c:pt>
                <c:pt idx="411">
                  <c:v>33</c:v>
                </c:pt>
                <c:pt idx="412">
                  <c:v>33</c:v>
                </c:pt>
                <c:pt idx="413">
                  <c:v>33</c:v>
                </c:pt>
                <c:pt idx="414">
                  <c:v>33</c:v>
                </c:pt>
                <c:pt idx="415">
                  <c:v>33</c:v>
                </c:pt>
                <c:pt idx="416">
                  <c:v>33</c:v>
                </c:pt>
                <c:pt idx="417">
                  <c:v>33</c:v>
                </c:pt>
                <c:pt idx="418">
                  <c:v>33</c:v>
                </c:pt>
                <c:pt idx="419">
                  <c:v>34</c:v>
                </c:pt>
                <c:pt idx="420">
                  <c:v>34</c:v>
                </c:pt>
                <c:pt idx="421">
                  <c:v>34</c:v>
                </c:pt>
                <c:pt idx="422">
                  <c:v>34</c:v>
                </c:pt>
                <c:pt idx="423">
                  <c:v>34</c:v>
                </c:pt>
                <c:pt idx="424">
                  <c:v>34</c:v>
                </c:pt>
                <c:pt idx="425">
                  <c:v>34</c:v>
                </c:pt>
                <c:pt idx="426">
                  <c:v>34</c:v>
                </c:pt>
                <c:pt idx="427">
                  <c:v>34</c:v>
                </c:pt>
                <c:pt idx="428">
                  <c:v>34</c:v>
                </c:pt>
                <c:pt idx="429">
                  <c:v>34</c:v>
                </c:pt>
                <c:pt idx="430">
                  <c:v>34</c:v>
                </c:pt>
                <c:pt idx="431">
                  <c:v>34</c:v>
                </c:pt>
                <c:pt idx="432">
                  <c:v>34</c:v>
                </c:pt>
                <c:pt idx="433">
                  <c:v>34</c:v>
                </c:pt>
                <c:pt idx="434">
                  <c:v>34</c:v>
                </c:pt>
                <c:pt idx="435">
                  <c:v>34</c:v>
                </c:pt>
                <c:pt idx="436">
                  <c:v>34</c:v>
                </c:pt>
                <c:pt idx="437">
                  <c:v>34</c:v>
                </c:pt>
                <c:pt idx="438">
                  <c:v>34</c:v>
                </c:pt>
                <c:pt idx="439">
                  <c:v>34</c:v>
                </c:pt>
                <c:pt idx="440">
                  <c:v>34</c:v>
                </c:pt>
                <c:pt idx="441">
                  <c:v>34</c:v>
                </c:pt>
                <c:pt idx="442">
                  <c:v>34</c:v>
                </c:pt>
                <c:pt idx="443">
                  <c:v>34</c:v>
                </c:pt>
                <c:pt idx="444">
                  <c:v>34</c:v>
                </c:pt>
                <c:pt idx="445">
                  <c:v>34</c:v>
                </c:pt>
                <c:pt idx="446">
                  <c:v>34</c:v>
                </c:pt>
                <c:pt idx="447">
                  <c:v>34</c:v>
                </c:pt>
                <c:pt idx="448">
                  <c:v>34</c:v>
                </c:pt>
                <c:pt idx="449">
                  <c:v>35</c:v>
                </c:pt>
                <c:pt idx="450">
                  <c:v>35</c:v>
                </c:pt>
                <c:pt idx="451">
                  <c:v>35</c:v>
                </c:pt>
                <c:pt idx="452">
                  <c:v>35</c:v>
                </c:pt>
                <c:pt idx="453">
                  <c:v>35</c:v>
                </c:pt>
                <c:pt idx="454">
                  <c:v>35</c:v>
                </c:pt>
                <c:pt idx="455">
                  <c:v>35</c:v>
                </c:pt>
                <c:pt idx="456">
                  <c:v>35</c:v>
                </c:pt>
                <c:pt idx="457">
                  <c:v>35</c:v>
                </c:pt>
                <c:pt idx="458">
                  <c:v>35</c:v>
                </c:pt>
                <c:pt idx="459">
                  <c:v>35</c:v>
                </c:pt>
                <c:pt idx="460">
                  <c:v>35</c:v>
                </c:pt>
                <c:pt idx="461">
                  <c:v>35</c:v>
                </c:pt>
                <c:pt idx="462">
                  <c:v>35</c:v>
                </c:pt>
                <c:pt idx="463">
                  <c:v>35</c:v>
                </c:pt>
                <c:pt idx="464">
                  <c:v>35</c:v>
                </c:pt>
                <c:pt idx="465">
                  <c:v>35</c:v>
                </c:pt>
                <c:pt idx="466">
                  <c:v>35</c:v>
                </c:pt>
                <c:pt idx="467">
                  <c:v>35</c:v>
                </c:pt>
                <c:pt idx="468">
                  <c:v>35</c:v>
                </c:pt>
                <c:pt idx="469">
                  <c:v>35</c:v>
                </c:pt>
                <c:pt idx="470">
                  <c:v>35</c:v>
                </c:pt>
                <c:pt idx="471">
                  <c:v>35</c:v>
                </c:pt>
                <c:pt idx="472">
                  <c:v>35</c:v>
                </c:pt>
                <c:pt idx="473">
                  <c:v>35</c:v>
                </c:pt>
                <c:pt idx="474">
                  <c:v>35</c:v>
                </c:pt>
                <c:pt idx="475">
                  <c:v>35</c:v>
                </c:pt>
                <c:pt idx="476">
                  <c:v>35</c:v>
                </c:pt>
                <c:pt idx="477">
                  <c:v>35</c:v>
                </c:pt>
                <c:pt idx="478">
                  <c:v>35</c:v>
                </c:pt>
              </c:numCache>
            </c:numRef>
          </c:xVal>
          <c:yVal>
            <c:numRef>
              <c:f>'Bombe data'!$M$5:$M$483</c:f>
              <c:numCache>
                <c:formatCode>General</c:formatCode>
                <c:ptCount val="47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1</c:v>
                </c:pt>
                <c:pt idx="31">
                  <c:v>8</c:v>
                </c:pt>
                <c:pt idx="32">
                  <c:v>2</c:v>
                </c:pt>
                <c:pt idx="33">
                  <c:v>6</c:v>
                </c:pt>
                <c:pt idx="34">
                  <c:v>2</c:v>
                </c:pt>
                <c:pt idx="35">
                  <c:v>6</c:v>
                </c:pt>
                <c:pt idx="36">
                  <c:v>7</c:v>
                </c:pt>
                <c:pt idx="37">
                  <c:v>2</c:v>
                </c:pt>
                <c:pt idx="38">
                  <c:v>1</c:v>
                </c:pt>
                <c:pt idx="39">
                  <c:v>2</c:v>
                </c:pt>
                <c:pt idx="40">
                  <c:v>0</c:v>
                </c:pt>
                <c:pt idx="41">
                  <c:v>0</c:v>
                </c:pt>
                <c:pt idx="42">
                  <c:v>6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7</c:v>
                </c:pt>
                <c:pt idx="50">
                  <c:v>1</c:v>
                </c:pt>
                <c:pt idx="51">
                  <c:v>1</c:v>
                </c:pt>
                <c:pt idx="52">
                  <c:v>2</c:v>
                </c:pt>
                <c:pt idx="53">
                  <c:v>1</c:v>
                </c:pt>
                <c:pt idx="54">
                  <c:v>1</c:v>
                </c:pt>
                <c:pt idx="55">
                  <c:v>2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2</c:v>
                </c:pt>
                <c:pt idx="60">
                  <c:v>6</c:v>
                </c:pt>
                <c:pt idx="61">
                  <c:v>5</c:v>
                </c:pt>
                <c:pt idx="62">
                  <c:v>2</c:v>
                </c:pt>
                <c:pt idx="63">
                  <c:v>5</c:v>
                </c:pt>
                <c:pt idx="64">
                  <c:v>1</c:v>
                </c:pt>
                <c:pt idx="65">
                  <c:v>1</c:v>
                </c:pt>
                <c:pt idx="66">
                  <c:v>0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2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5</c:v>
                </c:pt>
                <c:pt idx="79">
                  <c:v>2</c:v>
                </c:pt>
                <c:pt idx="80">
                  <c:v>6</c:v>
                </c:pt>
                <c:pt idx="81">
                  <c:v>1</c:v>
                </c:pt>
                <c:pt idx="82">
                  <c:v>0</c:v>
                </c:pt>
                <c:pt idx="83">
                  <c:v>1</c:v>
                </c:pt>
                <c:pt idx="84">
                  <c:v>8</c:v>
                </c:pt>
                <c:pt idx="85">
                  <c:v>1</c:v>
                </c:pt>
                <c:pt idx="86">
                  <c:v>2</c:v>
                </c:pt>
                <c:pt idx="87">
                  <c:v>1</c:v>
                </c:pt>
                <c:pt idx="88">
                  <c:v>2</c:v>
                </c:pt>
                <c:pt idx="89">
                  <c:v>1</c:v>
                </c:pt>
                <c:pt idx="90">
                  <c:v>0</c:v>
                </c:pt>
                <c:pt idx="91">
                  <c:v>0</c:v>
                </c:pt>
                <c:pt idx="92">
                  <c:v>1</c:v>
                </c:pt>
                <c:pt idx="93">
                  <c:v>4</c:v>
                </c:pt>
                <c:pt idx="94">
                  <c:v>1</c:v>
                </c:pt>
                <c:pt idx="95">
                  <c:v>0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2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2</c:v>
                </c:pt>
                <c:pt idx="106">
                  <c:v>1</c:v>
                </c:pt>
                <c:pt idx="107">
                  <c:v>2</c:v>
                </c:pt>
                <c:pt idx="108">
                  <c:v>4</c:v>
                </c:pt>
                <c:pt idx="109">
                  <c:v>2</c:v>
                </c:pt>
                <c:pt idx="110">
                  <c:v>1</c:v>
                </c:pt>
                <c:pt idx="111">
                  <c:v>2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2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3</c:v>
                </c:pt>
                <c:pt idx="126">
                  <c:v>1</c:v>
                </c:pt>
                <c:pt idx="127">
                  <c:v>2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2</c:v>
                </c:pt>
                <c:pt idx="133">
                  <c:v>3</c:v>
                </c:pt>
                <c:pt idx="134">
                  <c:v>1</c:v>
                </c:pt>
                <c:pt idx="135">
                  <c:v>2</c:v>
                </c:pt>
                <c:pt idx="136">
                  <c:v>2</c:v>
                </c:pt>
                <c:pt idx="137">
                  <c:v>1</c:v>
                </c:pt>
                <c:pt idx="138">
                  <c:v>2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2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2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4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2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2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2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2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4</c:v>
                </c:pt>
                <c:pt idx="193">
                  <c:v>2</c:v>
                </c:pt>
                <c:pt idx="194">
                  <c:v>1</c:v>
                </c:pt>
                <c:pt idx="195">
                  <c:v>2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2</c:v>
                </c:pt>
                <c:pt idx="203">
                  <c:v>0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3</c:v>
                </c:pt>
                <c:pt idx="214">
                  <c:v>1</c:v>
                </c:pt>
                <c:pt idx="215">
                  <c:v>2</c:v>
                </c:pt>
                <c:pt idx="216">
                  <c:v>2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2</c:v>
                </c:pt>
                <c:pt idx="228">
                  <c:v>1</c:v>
                </c:pt>
                <c:pt idx="229">
                  <c:v>2</c:v>
                </c:pt>
                <c:pt idx="230">
                  <c:v>2</c:v>
                </c:pt>
                <c:pt idx="231">
                  <c:v>1</c:v>
                </c:pt>
                <c:pt idx="232">
                  <c:v>2</c:v>
                </c:pt>
                <c:pt idx="233">
                  <c:v>1</c:v>
                </c:pt>
                <c:pt idx="234">
                  <c:v>0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2</c:v>
                </c:pt>
                <c:pt idx="239">
                  <c:v>3</c:v>
                </c:pt>
                <c:pt idx="240">
                  <c:v>1</c:v>
                </c:pt>
                <c:pt idx="241">
                  <c:v>2</c:v>
                </c:pt>
                <c:pt idx="242">
                  <c:v>2</c:v>
                </c:pt>
                <c:pt idx="243">
                  <c:v>2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2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2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2</c:v>
                </c:pt>
                <c:pt idx="266">
                  <c:v>2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3</c:v>
                </c:pt>
                <c:pt idx="275">
                  <c:v>2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3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3</c:v>
                </c:pt>
                <c:pt idx="303">
                  <c:v>1</c:v>
                </c:pt>
                <c:pt idx="304">
                  <c:v>1</c:v>
                </c:pt>
                <c:pt idx="305">
                  <c:v>1</c:v>
                </c:pt>
                <c:pt idx="306">
                  <c:v>1</c:v>
                </c:pt>
                <c:pt idx="307">
                  <c:v>1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1</c:v>
                </c:pt>
                <c:pt idx="313">
                  <c:v>1</c:v>
                </c:pt>
                <c:pt idx="314">
                  <c:v>1</c:v>
                </c:pt>
                <c:pt idx="315">
                  <c:v>1</c:v>
                </c:pt>
                <c:pt idx="316">
                  <c:v>1</c:v>
                </c:pt>
                <c:pt idx="317">
                  <c:v>1</c:v>
                </c:pt>
                <c:pt idx="318">
                  <c:v>1</c:v>
                </c:pt>
                <c:pt idx="319">
                  <c:v>1</c:v>
                </c:pt>
                <c:pt idx="320">
                  <c:v>1</c:v>
                </c:pt>
                <c:pt idx="321">
                  <c:v>1</c:v>
                </c:pt>
                <c:pt idx="322">
                  <c:v>2</c:v>
                </c:pt>
                <c:pt idx="323">
                  <c:v>1</c:v>
                </c:pt>
                <c:pt idx="324">
                  <c:v>1</c:v>
                </c:pt>
                <c:pt idx="325">
                  <c:v>1</c:v>
                </c:pt>
                <c:pt idx="326">
                  <c:v>1</c:v>
                </c:pt>
                <c:pt idx="327">
                  <c:v>3</c:v>
                </c:pt>
                <c:pt idx="328">
                  <c:v>1</c:v>
                </c:pt>
                <c:pt idx="329">
                  <c:v>1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2</c:v>
                </c:pt>
                <c:pt idx="334">
                  <c:v>1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2</c:v>
                </c:pt>
                <c:pt idx="341">
                  <c:v>1</c:v>
                </c:pt>
                <c:pt idx="342">
                  <c:v>1</c:v>
                </c:pt>
                <c:pt idx="343">
                  <c:v>1</c:v>
                </c:pt>
                <c:pt idx="344">
                  <c:v>1</c:v>
                </c:pt>
                <c:pt idx="345">
                  <c:v>1</c:v>
                </c:pt>
                <c:pt idx="346">
                  <c:v>1</c:v>
                </c:pt>
                <c:pt idx="347">
                  <c:v>1</c:v>
                </c:pt>
                <c:pt idx="348">
                  <c:v>2</c:v>
                </c:pt>
                <c:pt idx="349">
                  <c:v>1</c:v>
                </c:pt>
                <c:pt idx="350">
                  <c:v>1</c:v>
                </c:pt>
                <c:pt idx="351">
                  <c:v>1</c:v>
                </c:pt>
                <c:pt idx="352">
                  <c:v>1</c:v>
                </c:pt>
                <c:pt idx="353">
                  <c:v>1</c:v>
                </c:pt>
                <c:pt idx="354">
                  <c:v>1</c:v>
                </c:pt>
                <c:pt idx="355">
                  <c:v>1</c:v>
                </c:pt>
                <c:pt idx="356">
                  <c:v>1</c:v>
                </c:pt>
                <c:pt idx="357">
                  <c:v>1</c:v>
                </c:pt>
                <c:pt idx="358">
                  <c:v>1</c:v>
                </c:pt>
                <c:pt idx="359">
                  <c:v>1</c:v>
                </c:pt>
                <c:pt idx="360">
                  <c:v>1</c:v>
                </c:pt>
                <c:pt idx="361">
                  <c:v>1</c:v>
                </c:pt>
                <c:pt idx="362">
                  <c:v>1</c:v>
                </c:pt>
                <c:pt idx="363">
                  <c:v>2</c:v>
                </c:pt>
                <c:pt idx="364">
                  <c:v>1</c:v>
                </c:pt>
                <c:pt idx="365">
                  <c:v>1</c:v>
                </c:pt>
                <c:pt idx="366">
                  <c:v>1</c:v>
                </c:pt>
                <c:pt idx="367">
                  <c:v>1</c:v>
                </c:pt>
                <c:pt idx="368">
                  <c:v>1</c:v>
                </c:pt>
                <c:pt idx="369">
                  <c:v>2</c:v>
                </c:pt>
                <c:pt idx="370">
                  <c:v>2</c:v>
                </c:pt>
                <c:pt idx="371">
                  <c:v>1</c:v>
                </c:pt>
                <c:pt idx="372">
                  <c:v>1</c:v>
                </c:pt>
                <c:pt idx="373">
                  <c:v>1</c:v>
                </c:pt>
                <c:pt idx="374">
                  <c:v>1</c:v>
                </c:pt>
                <c:pt idx="375">
                  <c:v>1</c:v>
                </c:pt>
                <c:pt idx="376">
                  <c:v>1</c:v>
                </c:pt>
                <c:pt idx="377">
                  <c:v>1</c:v>
                </c:pt>
                <c:pt idx="378">
                  <c:v>1</c:v>
                </c:pt>
                <c:pt idx="379">
                  <c:v>1</c:v>
                </c:pt>
                <c:pt idx="380">
                  <c:v>1</c:v>
                </c:pt>
                <c:pt idx="381">
                  <c:v>1</c:v>
                </c:pt>
                <c:pt idx="382">
                  <c:v>1</c:v>
                </c:pt>
                <c:pt idx="383">
                  <c:v>1</c:v>
                </c:pt>
                <c:pt idx="384">
                  <c:v>1</c:v>
                </c:pt>
                <c:pt idx="385">
                  <c:v>1</c:v>
                </c:pt>
                <c:pt idx="386">
                  <c:v>1</c:v>
                </c:pt>
                <c:pt idx="387">
                  <c:v>1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1</c:v>
                </c:pt>
                <c:pt idx="393">
                  <c:v>1</c:v>
                </c:pt>
                <c:pt idx="394">
                  <c:v>1</c:v>
                </c:pt>
                <c:pt idx="395">
                  <c:v>1</c:v>
                </c:pt>
                <c:pt idx="396">
                  <c:v>1</c:v>
                </c:pt>
                <c:pt idx="397">
                  <c:v>1</c:v>
                </c:pt>
                <c:pt idx="398">
                  <c:v>1</c:v>
                </c:pt>
                <c:pt idx="399">
                  <c:v>1</c:v>
                </c:pt>
                <c:pt idx="400">
                  <c:v>1</c:v>
                </c:pt>
                <c:pt idx="401">
                  <c:v>1</c:v>
                </c:pt>
                <c:pt idx="402">
                  <c:v>1</c:v>
                </c:pt>
                <c:pt idx="403">
                  <c:v>1</c:v>
                </c:pt>
                <c:pt idx="404">
                  <c:v>1</c:v>
                </c:pt>
                <c:pt idx="405">
                  <c:v>1</c:v>
                </c:pt>
                <c:pt idx="406">
                  <c:v>3</c:v>
                </c:pt>
                <c:pt idx="407">
                  <c:v>1</c:v>
                </c:pt>
                <c:pt idx="408">
                  <c:v>1</c:v>
                </c:pt>
                <c:pt idx="409">
                  <c:v>1</c:v>
                </c:pt>
                <c:pt idx="410">
                  <c:v>2</c:v>
                </c:pt>
                <c:pt idx="411">
                  <c:v>1</c:v>
                </c:pt>
                <c:pt idx="412">
                  <c:v>1</c:v>
                </c:pt>
                <c:pt idx="413">
                  <c:v>2</c:v>
                </c:pt>
                <c:pt idx="414">
                  <c:v>1</c:v>
                </c:pt>
                <c:pt idx="415">
                  <c:v>1</c:v>
                </c:pt>
                <c:pt idx="416">
                  <c:v>1</c:v>
                </c:pt>
                <c:pt idx="417">
                  <c:v>1</c:v>
                </c:pt>
                <c:pt idx="418">
                  <c:v>1</c:v>
                </c:pt>
                <c:pt idx="419">
                  <c:v>1</c:v>
                </c:pt>
                <c:pt idx="420">
                  <c:v>1</c:v>
                </c:pt>
                <c:pt idx="421">
                  <c:v>1</c:v>
                </c:pt>
                <c:pt idx="422">
                  <c:v>2</c:v>
                </c:pt>
                <c:pt idx="423">
                  <c:v>1</c:v>
                </c:pt>
                <c:pt idx="424">
                  <c:v>1</c:v>
                </c:pt>
                <c:pt idx="425">
                  <c:v>1</c:v>
                </c:pt>
                <c:pt idx="426">
                  <c:v>1</c:v>
                </c:pt>
                <c:pt idx="427">
                  <c:v>1</c:v>
                </c:pt>
                <c:pt idx="428">
                  <c:v>1</c:v>
                </c:pt>
                <c:pt idx="429">
                  <c:v>1</c:v>
                </c:pt>
                <c:pt idx="430">
                  <c:v>1</c:v>
                </c:pt>
                <c:pt idx="431">
                  <c:v>1</c:v>
                </c:pt>
                <c:pt idx="432">
                  <c:v>1</c:v>
                </c:pt>
                <c:pt idx="433">
                  <c:v>1</c:v>
                </c:pt>
                <c:pt idx="434">
                  <c:v>1</c:v>
                </c:pt>
                <c:pt idx="435">
                  <c:v>1</c:v>
                </c:pt>
                <c:pt idx="436">
                  <c:v>1</c:v>
                </c:pt>
                <c:pt idx="437">
                  <c:v>1</c:v>
                </c:pt>
                <c:pt idx="438">
                  <c:v>1</c:v>
                </c:pt>
                <c:pt idx="439">
                  <c:v>3</c:v>
                </c:pt>
                <c:pt idx="440">
                  <c:v>1</c:v>
                </c:pt>
                <c:pt idx="441">
                  <c:v>1</c:v>
                </c:pt>
                <c:pt idx="442">
                  <c:v>2</c:v>
                </c:pt>
                <c:pt idx="443">
                  <c:v>1</c:v>
                </c:pt>
                <c:pt idx="444">
                  <c:v>1</c:v>
                </c:pt>
                <c:pt idx="445">
                  <c:v>2</c:v>
                </c:pt>
                <c:pt idx="446">
                  <c:v>1</c:v>
                </c:pt>
                <c:pt idx="447">
                  <c:v>1</c:v>
                </c:pt>
                <c:pt idx="448">
                  <c:v>1</c:v>
                </c:pt>
                <c:pt idx="449">
                  <c:v>1</c:v>
                </c:pt>
                <c:pt idx="450">
                  <c:v>1</c:v>
                </c:pt>
                <c:pt idx="451">
                  <c:v>1</c:v>
                </c:pt>
                <c:pt idx="452">
                  <c:v>1</c:v>
                </c:pt>
                <c:pt idx="453">
                  <c:v>1</c:v>
                </c:pt>
                <c:pt idx="454">
                  <c:v>1</c:v>
                </c:pt>
                <c:pt idx="455">
                  <c:v>1</c:v>
                </c:pt>
                <c:pt idx="456">
                  <c:v>1</c:v>
                </c:pt>
                <c:pt idx="457">
                  <c:v>1</c:v>
                </c:pt>
                <c:pt idx="458">
                  <c:v>1</c:v>
                </c:pt>
                <c:pt idx="459">
                  <c:v>1</c:v>
                </c:pt>
                <c:pt idx="460">
                  <c:v>1</c:v>
                </c:pt>
                <c:pt idx="461">
                  <c:v>1</c:v>
                </c:pt>
                <c:pt idx="462">
                  <c:v>1</c:v>
                </c:pt>
                <c:pt idx="463">
                  <c:v>1</c:v>
                </c:pt>
                <c:pt idx="464">
                  <c:v>1</c:v>
                </c:pt>
                <c:pt idx="465">
                  <c:v>1</c:v>
                </c:pt>
                <c:pt idx="466">
                  <c:v>1</c:v>
                </c:pt>
                <c:pt idx="467">
                  <c:v>1</c:v>
                </c:pt>
                <c:pt idx="468">
                  <c:v>1</c:v>
                </c:pt>
                <c:pt idx="469">
                  <c:v>2</c:v>
                </c:pt>
                <c:pt idx="470">
                  <c:v>2</c:v>
                </c:pt>
                <c:pt idx="471">
                  <c:v>1</c:v>
                </c:pt>
                <c:pt idx="472">
                  <c:v>1</c:v>
                </c:pt>
                <c:pt idx="473">
                  <c:v>1</c:v>
                </c:pt>
                <c:pt idx="474">
                  <c:v>1</c:v>
                </c:pt>
                <c:pt idx="475">
                  <c:v>1</c:v>
                </c:pt>
                <c:pt idx="476">
                  <c:v>2</c:v>
                </c:pt>
                <c:pt idx="477">
                  <c:v>1</c:v>
                </c:pt>
                <c:pt idx="478">
                  <c:v>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888401504"/>
        <c:axId val="-1888399872"/>
      </c:scatterChart>
      <c:valAx>
        <c:axId val="-1888401504"/>
        <c:scaling>
          <c:orientation val="minMax"/>
          <c:max val="35"/>
          <c:min val="20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Crib length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-1888399872"/>
        <c:crosses val="autoZero"/>
        <c:crossBetween val="midCat"/>
      </c:valAx>
      <c:valAx>
        <c:axId val="-1888399872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Solutions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-18884015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Passes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1 pass</c:v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'Bombe data'!$AJ$5:$AJ$19</c:f>
              <c:numCache>
                <c:formatCode>General</c:formatCode>
                <c:ptCount val="15"/>
                <c:pt idx="0">
                  <c:v>21</c:v>
                </c:pt>
                <c:pt idx="1">
                  <c:v>22</c:v>
                </c:pt>
                <c:pt idx="2">
                  <c:v>23</c:v>
                </c:pt>
                <c:pt idx="3">
                  <c:v>24</c:v>
                </c:pt>
                <c:pt idx="4">
                  <c:v>25</c:v>
                </c:pt>
                <c:pt idx="5">
                  <c:v>26</c:v>
                </c:pt>
                <c:pt idx="6">
                  <c:v>27</c:v>
                </c:pt>
                <c:pt idx="7">
                  <c:v>28</c:v>
                </c:pt>
                <c:pt idx="8">
                  <c:v>29</c:v>
                </c:pt>
                <c:pt idx="9">
                  <c:v>30</c:v>
                </c:pt>
                <c:pt idx="10">
                  <c:v>31</c:v>
                </c:pt>
                <c:pt idx="11">
                  <c:v>32</c:v>
                </c:pt>
                <c:pt idx="12">
                  <c:v>33</c:v>
                </c:pt>
                <c:pt idx="13">
                  <c:v>34</c:v>
                </c:pt>
                <c:pt idx="14">
                  <c:v>35</c:v>
                </c:pt>
              </c:numCache>
            </c:numRef>
          </c:xVal>
          <c:yVal>
            <c:numRef>
              <c:f>'Bombe data'!$AP$5:$AP$19</c:f>
              <c:numCache>
                <c:formatCode>0%</c:formatCode>
                <c:ptCount val="15"/>
                <c:pt idx="0">
                  <c:v>0.88888888888888884</c:v>
                </c:pt>
                <c:pt idx="1">
                  <c:v>0.8666666666666667</c:v>
                </c:pt>
                <c:pt idx="2">
                  <c:v>0.83333333333333337</c:v>
                </c:pt>
                <c:pt idx="3">
                  <c:v>0.9</c:v>
                </c:pt>
                <c:pt idx="4">
                  <c:v>0.8</c:v>
                </c:pt>
                <c:pt idx="5">
                  <c:v>0.9</c:v>
                </c:pt>
                <c:pt idx="6">
                  <c:v>0.8</c:v>
                </c:pt>
                <c:pt idx="7">
                  <c:v>0.93333333333333335</c:v>
                </c:pt>
                <c:pt idx="8">
                  <c:v>0.9</c:v>
                </c:pt>
                <c:pt idx="9">
                  <c:v>0.83333333333333337</c:v>
                </c:pt>
                <c:pt idx="10">
                  <c:v>0.83333333333333337</c:v>
                </c:pt>
                <c:pt idx="11">
                  <c:v>0.96666666666666667</c:v>
                </c:pt>
                <c:pt idx="12">
                  <c:v>0.8666666666666667</c:v>
                </c:pt>
                <c:pt idx="13">
                  <c:v>0.93333333333333335</c:v>
                </c:pt>
                <c:pt idx="14">
                  <c:v>0.8666666666666667</c:v>
                </c:pt>
              </c:numCache>
            </c:numRef>
          </c:yVal>
          <c:smooth val="0"/>
        </c:ser>
        <c:ser>
          <c:idx val="1"/>
          <c:order val="1"/>
          <c:tx>
            <c:v>2 pass</c:v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'Bombe data'!$AJ$5:$AJ$19</c:f>
              <c:numCache>
                <c:formatCode>General</c:formatCode>
                <c:ptCount val="15"/>
                <c:pt idx="0">
                  <c:v>21</c:v>
                </c:pt>
                <c:pt idx="1">
                  <c:v>22</c:v>
                </c:pt>
                <c:pt idx="2">
                  <c:v>23</c:v>
                </c:pt>
                <c:pt idx="3">
                  <c:v>24</c:v>
                </c:pt>
                <c:pt idx="4">
                  <c:v>25</c:v>
                </c:pt>
                <c:pt idx="5">
                  <c:v>26</c:v>
                </c:pt>
                <c:pt idx="6">
                  <c:v>27</c:v>
                </c:pt>
                <c:pt idx="7">
                  <c:v>28</c:v>
                </c:pt>
                <c:pt idx="8">
                  <c:v>29</c:v>
                </c:pt>
                <c:pt idx="9">
                  <c:v>30</c:v>
                </c:pt>
                <c:pt idx="10">
                  <c:v>31</c:v>
                </c:pt>
                <c:pt idx="11">
                  <c:v>32</c:v>
                </c:pt>
                <c:pt idx="12">
                  <c:v>33</c:v>
                </c:pt>
                <c:pt idx="13">
                  <c:v>34</c:v>
                </c:pt>
                <c:pt idx="14">
                  <c:v>35</c:v>
                </c:pt>
              </c:numCache>
            </c:numRef>
          </c:xVal>
          <c:yVal>
            <c:numRef>
              <c:f>'Bombe data'!$AQ$5:$AQ$19</c:f>
              <c:numCache>
                <c:formatCode>0%</c:formatCode>
                <c:ptCount val="15"/>
                <c:pt idx="0">
                  <c:v>0</c:v>
                </c:pt>
                <c:pt idx="1">
                  <c:v>6.6666666666666666E-2</c:v>
                </c:pt>
                <c:pt idx="2">
                  <c:v>3.3333333333333333E-2</c:v>
                </c:pt>
                <c:pt idx="3">
                  <c:v>6.6666666666666666E-2</c:v>
                </c:pt>
                <c:pt idx="4">
                  <c:v>0.13333333333333333</c:v>
                </c:pt>
                <c:pt idx="5">
                  <c:v>6.6666666666666666E-2</c:v>
                </c:pt>
                <c:pt idx="6">
                  <c:v>0.13333333333333333</c:v>
                </c:pt>
                <c:pt idx="7">
                  <c:v>3.3333333333333333E-2</c:v>
                </c:pt>
                <c:pt idx="8">
                  <c:v>3.3333333333333333E-2</c:v>
                </c:pt>
                <c:pt idx="9">
                  <c:v>6.6666666666666666E-2</c:v>
                </c:pt>
                <c:pt idx="10">
                  <c:v>0.16666666666666666</c:v>
                </c:pt>
                <c:pt idx="11">
                  <c:v>3.3333333333333333E-2</c:v>
                </c:pt>
                <c:pt idx="12">
                  <c:v>6.6666666666666666E-2</c:v>
                </c:pt>
                <c:pt idx="13">
                  <c:v>6.6666666666666666E-2</c:v>
                </c:pt>
                <c:pt idx="14">
                  <c:v>6.6666666666666666E-2</c:v>
                </c:pt>
              </c:numCache>
            </c:numRef>
          </c:yVal>
          <c:smooth val="0"/>
        </c:ser>
        <c:ser>
          <c:idx val="2"/>
          <c:order val="2"/>
          <c:tx>
            <c:v>3 pass</c:v>
          </c:tx>
          <c:spPr>
            <a:ln w="22225" cap="rnd">
              <a:solidFill>
                <a:schemeClr val="accent3"/>
              </a:solidFill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3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'Bombe data'!$AJ$5:$AJ$19</c:f>
              <c:numCache>
                <c:formatCode>General</c:formatCode>
                <c:ptCount val="15"/>
                <c:pt idx="0">
                  <c:v>21</c:v>
                </c:pt>
                <c:pt idx="1">
                  <c:v>22</c:v>
                </c:pt>
                <c:pt idx="2">
                  <c:v>23</c:v>
                </c:pt>
                <c:pt idx="3">
                  <c:v>24</c:v>
                </c:pt>
                <c:pt idx="4">
                  <c:v>25</c:v>
                </c:pt>
                <c:pt idx="5">
                  <c:v>26</c:v>
                </c:pt>
                <c:pt idx="6">
                  <c:v>27</c:v>
                </c:pt>
                <c:pt idx="7">
                  <c:v>28</c:v>
                </c:pt>
                <c:pt idx="8">
                  <c:v>29</c:v>
                </c:pt>
                <c:pt idx="9">
                  <c:v>30</c:v>
                </c:pt>
                <c:pt idx="10">
                  <c:v>31</c:v>
                </c:pt>
                <c:pt idx="11">
                  <c:v>32</c:v>
                </c:pt>
                <c:pt idx="12">
                  <c:v>33</c:v>
                </c:pt>
                <c:pt idx="13">
                  <c:v>34</c:v>
                </c:pt>
                <c:pt idx="14">
                  <c:v>35</c:v>
                </c:pt>
              </c:numCache>
            </c:numRef>
          </c:xVal>
          <c:yVal>
            <c:numRef>
              <c:f>'Bombe data'!$AR$5:$AR$19</c:f>
              <c:numCache>
                <c:formatCode>0%</c:formatCode>
                <c:ptCount val="15"/>
                <c:pt idx="0">
                  <c:v>0.1111111111111111</c:v>
                </c:pt>
                <c:pt idx="1">
                  <c:v>6.6666666666666666E-2</c:v>
                </c:pt>
                <c:pt idx="2">
                  <c:v>0.13333333333333333</c:v>
                </c:pt>
                <c:pt idx="3">
                  <c:v>3.3333333333333333E-2</c:v>
                </c:pt>
                <c:pt idx="4">
                  <c:v>6.6666666666666666E-2</c:v>
                </c:pt>
                <c:pt idx="5">
                  <c:v>3.3333333333333333E-2</c:v>
                </c:pt>
                <c:pt idx="6">
                  <c:v>6.6666666666666666E-2</c:v>
                </c:pt>
                <c:pt idx="7">
                  <c:v>3.3333333333333333E-2</c:v>
                </c:pt>
                <c:pt idx="8">
                  <c:v>6.6666666666666666E-2</c:v>
                </c:pt>
                <c:pt idx="9">
                  <c:v>0.1</c:v>
                </c:pt>
                <c:pt idx="10">
                  <c:v>0</c:v>
                </c:pt>
                <c:pt idx="11">
                  <c:v>0</c:v>
                </c:pt>
                <c:pt idx="12">
                  <c:v>6.6666666666666666E-2</c:v>
                </c:pt>
                <c:pt idx="13">
                  <c:v>0</c:v>
                </c:pt>
                <c:pt idx="14">
                  <c:v>6.6666666666666666E-2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631861824"/>
        <c:axId val="-1631859104"/>
      </c:scatterChart>
      <c:valAx>
        <c:axId val="-1631861824"/>
        <c:scaling>
          <c:orientation val="minMax"/>
          <c:max val="35"/>
          <c:min val="20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-1631859104"/>
        <c:crosses val="autoZero"/>
        <c:crossBetween val="midCat"/>
      </c:valAx>
      <c:valAx>
        <c:axId val="-1631859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-16318618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161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161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>
  <sheetPr/>
  <sheetViews>
    <sheetView zoomScale="161" workbookViewId="0" zoomToFit="1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>
  <sheetPr/>
  <sheetViews>
    <sheetView zoomScale="161" workbookViewId="0" zoomToFit="1"/>
  </sheetViews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>
  <sheetPr/>
  <sheetViews>
    <sheetView zoomScale="161" workbookViewId="0" zoomToFit="1"/>
  </sheetViews>
  <pageMargins left="0.7" right="0.7" top="0.75" bottom="0.75" header="0.3" footer="0.3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>
  <sheetPr/>
  <sheetViews>
    <sheetView zoomScale="161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6102" cy="607588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306102" cy="607588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306102" cy="607588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9306102" cy="607588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9306102" cy="607588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9306102" cy="6081801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63"/>
  <sheetViews>
    <sheetView workbookViewId="0">
      <pane xSplit="2" ySplit="3" topLeftCell="C4" activePane="bottomRight" state="frozen"/>
      <selection pane="topRight" activeCell="C1" sqref="C1"/>
      <selection pane="bottomLeft" activeCell="A2" sqref="A2"/>
      <selection pane="bottomRight" activeCell="M4" sqref="M4"/>
    </sheetView>
  </sheetViews>
  <sheetFormatPr defaultRowHeight="15" x14ac:dyDescent="0.25"/>
  <cols>
    <col min="1" max="1" width="10" bestFit="1" customWidth="1"/>
    <col min="3" max="3" width="20.7109375" bestFit="1" customWidth="1"/>
    <col min="4" max="4" width="17.7109375" bestFit="1" customWidth="1"/>
    <col min="5" max="5" width="10.28515625" bestFit="1" customWidth="1"/>
    <col min="11" max="11" width="10.5703125" bestFit="1" customWidth="1"/>
    <col min="12" max="12" width="9.7109375" bestFit="1" customWidth="1"/>
    <col min="13" max="13" width="10.28515625" bestFit="1" customWidth="1"/>
    <col min="14" max="14" width="16.42578125" style="1" bestFit="1" customWidth="1"/>
    <col min="16" max="16" width="15.28515625" customWidth="1"/>
  </cols>
  <sheetData>
    <row r="1" spans="1:16" s="4" customFormat="1" ht="18.75" x14ac:dyDescent="0.3">
      <c r="A1" s="4" t="s">
        <v>11</v>
      </c>
      <c r="H1" s="4" t="s">
        <v>12</v>
      </c>
      <c r="K1" s="4" t="s">
        <v>13</v>
      </c>
      <c r="N1" s="5"/>
    </row>
    <row r="2" spans="1:16" s="2" customFormat="1" x14ac:dyDescent="0.25">
      <c r="K2" s="2" t="s">
        <v>6</v>
      </c>
      <c r="L2" s="2" t="s">
        <v>7</v>
      </c>
      <c r="M2" s="2" t="s">
        <v>8</v>
      </c>
      <c r="N2" s="3" t="s">
        <v>9</v>
      </c>
      <c r="P2" s="2" t="s">
        <v>16</v>
      </c>
    </row>
    <row r="3" spans="1:16" s="2" customFormat="1" x14ac:dyDescent="0.25">
      <c r="A3" s="2" t="s">
        <v>0</v>
      </c>
      <c r="B3" s="2" t="s">
        <v>1</v>
      </c>
      <c r="C3" s="2" t="s">
        <v>2</v>
      </c>
      <c r="D3" s="2" t="s">
        <v>10</v>
      </c>
      <c r="E3" s="2" t="s">
        <v>3</v>
      </c>
      <c r="F3" s="2" t="s">
        <v>4</v>
      </c>
      <c r="H3" s="2" t="s">
        <v>5</v>
      </c>
      <c r="I3" s="2">
        <v>30</v>
      </c>
      <c r="N3" s="2" t="s">
        <v>14</v>
      </c>
      <c r="O3" s="2" t="s">
        <v>15</v>
      </c>
      <c r="P3" s="2" t="s">
        <v>17</v>
      </c>
    </row>
    <row r="4" spans="1:16" x14ac:dyDescent="0.25">
      <c r="A4">
        <v>5</v>
      </c>
      <c r="B4">
        <v>0</v>
      </c>
      <c r="C4">
        <v>0</v>
      </c>
      <c r="D4">
        <v>0</v>
      </c>
      <c r="E4">
        <v>1000000</v>
      </c>
      <c r="F4">
        <v>0</v>
      </c>
      <c r="K4">
        <v>4</v>
      </c>
      <c r="L4">
        <f t="shared" ref="L4:L34" si="0">K4+$I$3</f>
        <v>34</v>
      </c>
      <c r="M4">
        <f ca="1">INDIRECT("A"&amp;K4)</f>
        <v>5</v>
      </c>
      <c r="N4" s="1">
        <f ca="1">AVERAGE(INDIRECT("C"&amp;K4&amp;":C"&amp;L4))</f>
        <v>6.4516129032258063E-2</v>
      </c>
      <c r="O4">
        <f ca="1">STDEV(INDIRECT("C"&amp;K4&amp;":C"&amp;L4))</f>
        <v>0.24973103811470745</v>
      </c>
      <c r="P4">
        <f ca="1">AVERAGE(INDIRECT("D"&amp;K4&amp;":D"&amp;L4))</f>
        <v>0.12903225806451613</v>
      </c>
    </row>
    <row r="5" spans="1:16" x14ac:dyDescent="0.25">
      <c r="A5">
        <v>5</v>
      </c>
      <c r="B5">
        <v>1</v>
      </c>
      <c r="C5">
        <v>0</v>
      </c>
      <c r="D5">
        <v>0</v>
      </c>
      <c r="E5">
        <v>1000000</v>
      </c>
      <c r="F5">
        <v>0</v>
      </c>
      <c r="K5">
        <f>L4+1</f>
        <v>35</v>
      </c>
      <c r="L5">
        <f t="shared" si="0"/>
        <v>65</v>
      </c>
      <c r="M5">
        <f ca="1">INDIRECT("A"&amp;K5)</f>
        <v>6</v>
      </c>
      <c r="N5" s="1">
        <f t="shared" ref="N5:N33" ca="1" si="1">AVERAGE(INDIRECT("C"&amp;K5&amp;":C"&amp;L5))</f>
        <v>9.6774193548387094E-2</v>
      </c>
      <c r="O5">
        <f t="shared" ref="O5:O34" ca="1" si="2">STDEV(INDIRECT("C"&amp;K5&amp;":C"&amp;L5))</f>
        <v>0.30053715351876426</v>
      </c>
      <c r="P5">
        <f t="shared" ref="P5:P34" ca="1" si="3">AVERAGE(INDIRECT("D"&amp;K5&amp;":D"&amp;L5))</f>
        <v>0.22580645161290322</v>
      </c>
    </row>
    <row r="6" spans="1:16" x14ac:dyDescent="0.25">
      <c r="A6">
        <v>5</v>
      </c>
      <c r="B6">
        <v>2</v>
      </c>
      <c r="C6">
        <v>0</v>
      </c>
      <c r="D6">
        <v>0</v>
      </c>
      <c r="E6">
        <v>1000000</v>
      </c>
      <c r="F6">
        <v>0</v>
      </c>
      <c r="K6">
        <f t="shared" ref="K6:K34" si="4">L5+1</f>
        <v>66</v>
      </c>
      <c r="L6">
        <f t="shared" si="0"/>
        <v>96</v>
      </c>
      <c r="M6">
        <f t="shared" ref="M6:M27" ca="1" si="5">INDIRECT("A"&amp;K6)</f>
        <v>7</v>
      </c>
      <c r="N6" s="1">
        <f t="shared" ca="1" si="1"/>
        <v>9.6774193548387094E-2</v>
      </c>
      <c r="O6">
        <f t="shared" ca="1" si="2"/>
        <v>0.30053715351876426</v>
      </c>
      <c r="P6">
        <f t="shared" ca="1" si="3"/>
        <v>0.19354838709677419</v>
      </c>
    </row>
    <row r="7" spans="1:16" x14ac:dyDescent="0.25">
      <c r="A7">
        <v>5</v>
      </c>
      <c r="B7">
        <v>3</v>
      </c>
      <c r="C7">
        <v>0</v>
      </c>
      <c r="D7">
        <v>0</v>
      </c>
      <c r="E7">
        <v>1000000</v>
      </c>
      <c r="F7">
        <v>0</v>
      </c>
      <c r="K7">
        <f t="shared" si="4"/>
        <v>97</v>
      </c>
      <c r="L7">
        <f t="shared" si="0"/>
        <v>127</v>
      </c>
      <c r="M7">
        <f t="shared" ca="1" si="5"/>
        <v>8</v>
      </c>
      <c r="N7" s="1">
        <f t="shared" ca="1" si="1"/>
        <v>0.22580645161290322</v>
      </c>
      <c r="O7">
        <f t="shared" ca="1" si="2"/>
        <v>0.49730456257407218</v>
      </c>
      <c r="P7">
        <f t="shared" ca="1" si="3"/>
        <v>0.45161290322580644</v>
      </c>
    </row>
    <row r="8" spans="1:16" x14ac:dyDescent="0.25">
      <c r="A8">
        <v>5</v>
      </c>
      <c r="B8">
        <v>4</v>
      </c>
      <c r="C8">
        <v>0</v>
      </c>
      <c r="D8">
        <v>0</v>
      </c>
      <c r="E8">
        <v>1000000</v>
      </c>
      <c r="F8">
        <v>0</v>
      </c>
      <c r="K8">
        <f t="shared" si="4"/>
        <v>128</v>
      </c>
      <c r="L8">
        <f t="shared" si="0"/>
        <v>158</v>
      </c>
      <c r="M8">
        <f t="shared" ca="1" si="5"/>
        <v>9</v>
      </c>
      <c r="N8" s="1">
        <f t="shared" ca="1" si="1"/>
        <v>0.12903225806451613</v>
      </c>
      <c r="O8">
        <f t="shared" ca="1" si="2"/>
        <v>0.3407771005482389</v>
      </c>
      <c r="P8">
        <f t="shared" ca="1" si="3"/>
        <v>0.32258064516129031</v>
      </c>
    </row>
    <row r="9" spans="1:16" x14ac:dyDescent="0.25">
      <c r="A9">
        <v>5</v>
      </c>
      <c r="B9">
        <v>5</v>
      </c>
      <c r="C9">
        <v>0</v>
      </c>
      <c r="D9">
        <v>0</v>
      </c>
      <c r="E9">
        <v>1000000</v>
      </c>
      <c r="F9">
        <v>0</v>
      </c>
      <c r="K9">
        <f t="shared" si="4"/>
        <v>159</v>
      </c>
      <c r="L9">
        <f t="shared" si="0"/>
        <v>189</v>
      </c>
      <c r="M9">
        <f t="shared" ca="1" si="5"/>
        <v>10</v>
      </c>
      <c r="N9" s="1">
        <f t="shared" ca="1" si="1"/>
        <v>0.35483870967741937</v>
      </c>
      <c r="O9">
        <f t="shared" ca="1" si="2"/>
        <v>0.55065942873214557</v>
      </c>
      <c r="P9">
        <f t="shared" ca="1" si="3"/>
        <v>0.79032258064516125</v>
      </c>
    </row>
    <row r="10" spans="1:16" x14ac:dyDescent="0.25">
      <c r="A10">
        <v>5</v>
      </c>
      <c r="B10">
        <v>6</v>
      </c>
      <c r="C10">
        <v>0</v>
      </c>
      <c r="D10">
        <v>0</v>
      </c>
      <c r="E10">
        <v>1000000</v>
      </c>
      <c r="F10">
        <v>0</v>
      </c>
      <c r="K10">
        <f t="shared" si="4"/>
        <v>190</v>
      </c>
      <c r="L10">
        <f t="shared" si="0"/>
        <v>220</v>
      </c>
      <c r="M10">
        <f t="shared" ca="1" si="5"/>
        <v>11</v>
      </c>
      <c r="N10" s="1">
        <f t="shared" ca="1" si="1"/>
        <v>0.41935483870967744</v>
      </c>
      <c r="O10">
        <f t="shared" ca="1" si="2"/>
        <v>0.672021505032247</v>
      </c>
      <c r="P10">
        <f t="shared" ca="1" si="3"/>
        <v>0.97849461290322581</v>
      </c>
    </row>
    <row r="11" spans="1:16" x14ac:dyDescent="0.25">
      <c r="A11">
        <v>5</v>
      </c>
      <c r="B11">
        <v>7</v>
      </c>
      <c r="C11">
        <v>0</v>
      </c>
      <c r="D11">
        <v>0</v>
      </c>
      <c r="E11">
        <v>1000000</v>
      </c>
      <c r="F11">
        <v>0</v>
      </c>
      <c r="K11">
        <f t="shared" si="4"/>
        <v>221</v>
      </c>
      <c r="L11">
        <f t="shared" si="0"/>
        <v>251</v>
      </c>
      <c r="M11">
        <f t="shared" ca="1" si="5"/>
        <v>12</v>
      </c>
      <c r="N11" s="1">
        <f t="shared" ca="1" si="1"/>
        <v>0.87096774193548387</v>
      </c>
      <c r="O11">
        <f t="shared" ca="1" si="2"/>
        <v>1.024432704276566</v>
      </c>
      <c r="P11">
        <f t="shared" ca="1" si="3"/>
        <v>1.3440860322580643</v>
      </c>
    </row>
    <row r="12" spans="1:16" x14ac:dyDescent="0.25">
      <c r="A12">
        <v>5</v>
      </c>
      <c r="B12">
        <v>8</v>
      </c>
      <c r="C12">
        <v>0</v>
      </c>
      <c r="D12">
        <v>0</v>
      </c>
      <c r="E12">
        <v>1000000</v>
      </c>
      <c r="F12">
        <v>0</v>
      </c>
      <c r="K12">
        <f t="shared" si="4"/>
        <v>252</v>
      </c>
      <c r="L12">
        <f t="shared" si="0"/>
        <v>282</v>
      </c>
      <c r="M12">
        <f t="shared" ca="1" si="5"/>
        <v>13</v>
      </c>
      <c r="N12" s="1">
        <f t="shared" ca="1" si="1"/>
        <v>0.90322580645161288</v>
      </c>
      <c r="O12">
        <f t="shared" ca="1" si="2"/>
        <v>0.94356906511667782</v>
      </c>
      <c r="P12">
        <f t="shared" ca="1" si="3"/>
        <v>1.6559139677419354</v>
      </c>
    </row>
    <row r="13" spans="1:16" x14ac:dyDescent="0.25">
      <c r="A13">
        <v>5</v>
      </c>
      <c r="B13">
        <v>9</v>
      </c>
      <c r="C13">
        <v>0</v>
      </c>
      <c r="D13">
        <v>0</v>
      </c>
      <c r="E13">
        <v>1000000</v>
      </c>
      <c r="F13">
        <v>0</v>
      </c>
      <c r="K13">
        <f t="shared" si="4"/>
        <v>283</v>
      </c>
      <c r="L13">
        <f t="shared" si="0"/>
        <v>313</v>
      </c>
      <c r="M13">
        <f t="shared" ca="1" si="5"/>
        <v>14</v>
      </c>
      <c r="N13" s="1">
        <f t="shared" ca="1" si="1"/>
        <v>0.83870967741935487</v>
      </c>
      <c r="O13">
        <f t="shared" ca="1" si="2"/>
        <v>0.73470058271146022</v>
      </c>
      <c r="P13">
        <f t="shared" ca="1" si="3"/>
        <v>2.2043010645161289</v>
      </c>
    </row>
    <row r="14" spans="1:16" x14ac:dyDescent="0.25">
      <c r="A14">
        <v>5</v>
      </c>
      <c r="B14">
        <v>10</v>
      </c>
      <c r="C14">
        <v>0</v>
      </c>
      <c r="D14">
        <v>0</v>
      </c>
      <c r="E14">
        <v>1000000</v>
      </c>
      <c r="F14">
        <v>0</v>
      </c>
      <c r="K14">
        <f t="shared" si="4"/>
        <v>314</v>
      </c>
      <c r="L14">
        <f t="shared" si="0"/>
        <v>344</v>
      </c>
      <c r="M14">
        <f t="shared" ca="1" si="5"/>
        <v>15</v>
      </c>
      <c r="N14" s="1">
        <f t="shared" ca="1" si="1"/>
        <v>1.4516129032258065</v>
      </c>
      <c r="O14">
        <f t="shared" ca="1" si="2"/>
        <v>1.4569079055181526</v>
      </c>
      <c r="P14">
        <f t="shared" ca="1" si="3"/>
        <v>2.1720429999999999</v>
      </c>
    </row>
    <row r="15" spans="1:16" x14ac:dyDescent="0.25">
      <c r="A15">
        <v>5</v>
      </c>
      <c r="B15">
        <v>11</v>
      </c>
      <c r="C15">
        <v>0</v>
      </c>
      <c r="D15">
        <v>0</v>
      </c>
      <c r="E15">
        <v>1000000</v>
      </c>
      <c r="F15">
        <v>0</v>
      </c>
      <c r="K15">
        <f t="shared" si="4"/>
        <v>345</v>
      </c>
      <c r="L15">
        <f t="shared" si="0"/>
        <v>375</v>
      </c>
      <c r="M15">
        <f t="shared" ca="1" si="5"/>
        <v>16</v>
      </c>
      <c r="N15" s="1">
        <f t="shared" ca="1" si="1"/>
        <v>1.2903225806451613</v>
      </c>
      <c r="O15">
        <f t="shared" ca="1" si="2"/>
        <v>1.531742980770529</v>
      </c>
      <c r="P15">
        <f t="shared" ca="1" si="3"/>
        <v>2.3294931290322585</v>
      </c>
    </row>
    <row r="16" spans="1:16" x14ac:dyDescent="0.25">
      <c r="A16">
        <v>5</v>
      </c>
      <c r="B16">
        <v>12</v>
      </c>
      <c r="C16">
        <v>1</v>
      </c>
      <c r="D16">
        <v>2</v>
      </c>
      <c r="E16">
        <v>2</v>
      </c>
      <c r="F16">
        <v>2</v>
      </c>
      <c r="K16">
        <f t="shared" si="4"/>
        <v>376</v>
      </c>
      <c r="L16">
        <f t="shared" si="0"/>
        <v>406</v>
      </c>
      <c r="M16">
        <f t="shared" ca="1" si="5"/>
        <v>17</v>
      </c>
      <c r="N16" s="1">
        <f t="shared" ca="1" si="1"/>
        <v>2.3870967741935485</v>
      </c>
      <c r="O16">
        <f t="shared" ca="1" si="2"/>
        <v>2.8830240992730611</v>
      </c>
      <c r="P16">
        <f t="shared" ca="1" si="3"/>
        <v>3.0889784838709677</v>
      </c>
    </row>
    <row r="17" spans="1:16" x14ac:dyDescent="0.25">
      <c r="A17">
        <v>5</v>
      </c>
      <c r="B17">
        <v>13</v>
      </c>
      <c r="C17">
        <v>0</v>
      </c>
      <c r="D17">
        <v>0</v>
      </c>
      <c r="E17">
        <v>1000000</v>
      </c>
      <c r="F17">
        <v>0</v>
      </c>
      <c r="K17">
        <f t="shared" si="4"/>
        <v>407</v>
      </c>
      <c r="L17">
        <f t="shared" si="0"/>
        <v>437</v>
      </c>
      <c r="M17">
        <f t="shared" ca="1" si="5"/>
        <v>18</v>
      </c>
      <c r="N17" s="1">
        <f t="shared" ca="1" si="1"/>
        <v>2.903225806451613</v>
      </c>
      <c r="O17">
        <f t="shared" ca="1" si="2"/>
        <v>2.4678578931221224</v>
      </c>
      <c r="P17">
        <f t="shared" ca="1" si="3"/>
        <v>3.3811060322580646</v>
      </c>
    </row>
    <row r="18" spans="1:16" x14ac:dyDescent="0.25">
      <c r="A18">
        <v>5</v>
      </c>
      <c r="B18">
        <v>14</v>
      </c>
      <c r="C18">
        <v>0</v>
      </c>
      <c r="D18">
        <v>0</v>
      </c>
      <c r="E18">
        <v>1000000</v>
      </c>
      <c r="F18">
        <v>0</v>
      </c>
      <c r="K18">
        <f t="shared" si="4"/>
        <v>438</v>
      </c>
      <c r="L18">
        <f t="shared" si="0"/>
        <v>468</v>
      </c>
      <c r="M18">
        <f t="shared" ca="1" si="5"/>
        <v>19</v>
      </c>
      <c r="N18" s="1">
        <f t="shared" ca="1" si="1"/>
        <v>4.419354838709677</v>
      </c>
      <c r="O18">
        <f t="shared" ca="1" si="2"/>
        <v>3.6494218130948459</v>
      </c>
      <c r="P18">
        <f t="shared" ca="1" si="3"/>
        <v>3.6806835483870968</v>
      </c>
    </row>
    <row r="19" spans="1:16" x14ac:dyDescent="0.25">
      <c r="A19">
        <v>5</v>
      </c>
      <c r="B19">
        <v>15</v>
      </c>
      <c r="C19">
        <v>0</v>
      </c>
      <c r="D19">
        <v>0</v>
      </c>
      <c r="E19">
        <v>1000000</v>
      </c>
      <c r="F19">
        <v>0</v>
      </c>
      <c r="K19">
        <f t="shared" si="4"/>
        <v>469</v>
      </c>
      <c r="L19">
        <f t="shared" si="0"/>
        <v>499</v>
      </c>
      <c r="M19">
        <f t="shared" ca="1" si="5"/>
        <v>20</v>
      </c>
      <c r="N19" s="1">
        <f t="shared" ca="1" si="1"/>
        <v>5.032258064516129</v>
      </c>
      <c r="O19">
        <f t="shared" ca="1" si="2"/>
        <v>4.6294986839307048</v>
      </c>
      <c r="P19">
        <f t="shared" ca="1" si="3"/>
        <v>3.9686053225806455</v>
      </c>
    </row>
    <row r="20" spans="1:16" x14ac:dyDescent="0.25">
      <c r="A20">
        <v>5</v>
      </c>
      <c r="B20">
        <v>16</v>
      </c>
      <c r="C20">
        <v>0</v>
      </c>
      <c r="D20">
        <v>0</v>
      </c>
      <c r="E20">
        <v>1000000</v>
      </c>
      <c r="F20">
        <v>0</v>
      </c>
      <c r="K20">
        <f t="shared" si="4"/>
        <v>500</v>
      </c>
      <c r="L20">
        <f t="shared" si="0"/>
        <v>530</v>
      </c>
      <c r="M20">
        <f t="shared" ca="1" si="5"/>
        <v>21</v>
      </c>
      <c r="N20" s="1">
        <f t="shared" ca="1" si="1"/>
        <v>7.193548387096774</v>
      </c>
      <c r="O20">
        <f t="shared" ca="1" si="2"/>
        <v>6.3478046327776951</v>
      </c>
      <c r="P20">
        <f t="shared" ca="1" si="3"/>
        <v>4.5291928387096778</v>
      </c>
    </row>
    <row r="21" spans="1:16" x14ac:dyDescent="0.25">
      <c r="A21">
        <v>5</v>
      </c>
      <c r="B21">
        <v>17</v>
      </c>
      <c r="C21">
        <v>0</v>
      </c>
      <c r="D21">
        <v>0</v>
      </c>
      <c r="E21">
        <v>1000000</v>
      </c>
      <c r="F21">
        <v>0</v>
      </c>
      <c r="K21">
        <f t="shared" si="4"/>
        <v>531</v>
      </c>
      <c r="L21">
        <f t="shared" si="0"/>
        <v>561</v>
      </c>
      <c r="M21">
        <f t="shared" ca="1" si="5"/>
        <v>22</v>
      </c>
      <c r="N21" s="1">
        <f t="shared" ca="1" si="1"/>
        <v>7.967741935483871</v>
      </c>
      <c r="O21">
        <f t="shared" ca="1" si="2"/>
        <v>4.8613020955826363</v>
      </c>
      <c r="P21">
        <f t="shared" ca="1" si="3"/>
        <v>5.0954175806451634</v>
      </c>
    </row>
    <row r="22" spans="1:16" x14ac:dyDescent="0.25">
      <c r="A22">
        <v>5</v>
      </c>
      <c r="B22">
        <v>18</v>
      </c>
      <c r="C22">
        <v>0</v>
      </c>
      <c r="D22">
        <v>0</v>
      </c>
      <c r="E22">
        <v>1000000</v>
      </c>
      <c r="F22">
        <v>0</v>
      </c>
      <c r="K22">
        <f t="shared" si="4"/>
        <v>562</v>
      </c>
      <c r="L22">
        <f t="shared" si="0"/>
        <v>592</v>
      </c>
      <c r="M22">
        <f t="shared" ca="1" si="5"/>
        <v>23</v>
      </c>
      <c r="N22" s="1">
        <f t="shared" ca="1" si="1"/>
        <v>16.903225806451612</v>
      </c>
      <c r="O22">
        <f t="shared" ca="1" si="2"/>
        <v>18.612459695429255</v>
      </c>
      <c r="P22">
        <f t="shared" ca="1" si="3"/>
        <v>5.2335838064516125</v>
      </c>
    </row>
    <row r="23" spans="1:16" x14ac:dyDescent="0.25">
      <c r="A23">
        <v>5</v>
      </c>
      <c r="B23">
        <v>19</v>
      </c>
      <c r="C23">
        <v>0</v>
      </c>
      <c r="D23">
        <v>0</v>
      </c>
      <c r="E23">
        <v>1000000</v>
      </c>
      <c r="F23">
        <v>0</v>
      </c>
      <c r="K23">
        <f t="shared" si="4"/>
        <v>593</v>
      </c>
      <c r="L23">
        <f t="shared" si="0"/>
        <v>623</v>
      </c>
      <c r="M23">
        <f t="shared" ca="1" si="5"/>
        <v>24</v>
      </c>
      <c r="N23" s="1">
        <f t="shared" ca="1" si="1"/>
        <v>17.387096774193548</v>
      </c>
      <c r="O23">
        <f t="shared" ca="1" si="2"/>
        <v>14.678050323197649</v>
      </c>
      <c r="P23">
        <f t="shared" ca="1" si="3"/>
        <v>6.0199504193548394</v>
      </c>
    </row>
    <row r="24" spans="1:16" x14ac:dyDescent="0.25">
      <c r="A24">
        <v>5</v>
      </c>
      <c r="B24">
        <v>20</v>
      </c>
      <c r="C24">
        <v>0</v>
      </c>
      <c r="D24">
        <v>0</v>
      </c>
      <c r="E24">
        <v>1000000</v>
      </c>
      <c r="F24">
        <v>0</v>
      </c>
      <c r="K24">
        <f t="shared" si="4"/>
        <v>624</v>
      </c>
      <c r="L24">
        <f t="shared" si="0"/>
        <v>654</v>
      </c>
      <c r="M24">
        <f t="shared" ca="1" si="5"/>
        <v>25</v>
      </c>
      <c r="N24" s="1">
        <f t="shared" ca="1" si="1"/>
        <v>19.677419354838708</v>
      </c>
      <c r="O24">
        <f t="shared" ca="1" si="2"/>
        <v>19.953925422957415</v>
      </c>
      <c r="P24">
        <f t="shared" ca="1" si="3"/>
        <v>6.5493881935483858</v>
      </c>
    </row>
    <row r="25" spans="1:16" x14ac:dyDescent="0.25">
      <c r="A25">
        <v>5</v>
      </c>
      <c r="B25">
        <v>21</v>
      </c>
      <c r="C25">
        <v>0</v>
      </c>
      <c r="D25">
        <v>0</v>
      </c>
      <c r="E25">
        <v>1000000</v>
      </c>
      <c r="F25">
        <v>0</v>
      </c>
      <c r="K25">
        <f t="shared" si="4"/>
        <v>655</v>
      </c>
      <c r="L25">
        <f t="shared" si="0"/>
        <v>685</v>
      </c>
      <c r="M25">
        <f t="shared" ca="1" si="5"/>
        <v>26</v>
      </c>
      <c r="N25" s="1">
        <f t="shared" ca="1" si="1"/>
        <v>35.935483870967744</v>
      </c>
      <c r="O25">
        <f t="shared" ca="1" si="2"/>
        <v>23.197608330559952</v>
      </c>
      <c r="P25">
        <f t="shared" ca="1" si="3"/>
        <v>6.6495108387096771</v>
      </c>
    </row>
    <row r="26" spans="1:16" x14ac:dyDescent="0.25">
      <c r="A26">
        <v>5</v>
      </c>
      <c r="B26">
        <v>22</v>
      </c>
      <c r="C26">
        <v>0</v>
      </c>
      <c r="D26">
        <v>0</v>
      </c>
      <c r="E26">
        <v>1000000</v>
      </c>
      <c r="F26">
        <v>0</v>
      </c>
      <c r="K26">
        <f t="shared" si="4"/>
        <v>686</v>
      </c>
      <c r="L26">
        <f t="shared" si="0"/>
        <v>716</v>
      </c>
      <c r="M26">
        <f t="shared" ca="1" si="5"/>
        <v>27</v>
      </c>
      <c r="N26" s="1">
        <f t="shared" ca="1" si="1"/>
        <v>42.838709677419352</v>
      </c>
      <c r="O26">
        <f t="shared" ca="1" si="2"/>
        <v>36.235430887639559</v>
      </c>
      <c r="P26">
        <f t="shared" ca="1" si="3"/>
        <v>7.0705140645161304</v>
      </c>
    </row>
    <row r="27" spans="1:16" x14ac:dyDescent="0.25">
      <c r="A27">
        <v>5</v>
      </c>
      <c r="B27">
        <v>23</v>
      </c>
      <c r="C27">
        <v>0</v>
      </c>
      <c r="D27">
        <v>0</v>
      </c>
      <c r="E27">
        <v>1000000</v>
      </c>
      <c r="F27">
        <v>0</v>
      </c>
      <c r="K27">
        <f t="shared" si="4"/>
        <v>717</v>
      </c>
      <c r="L27">
        <f t="shared" si="0"/>
        <v>747</v>
      </c>
      <c r="M27">
        <f t="shared" ca="1" si="5"/>
        <v>28</v>
      </c>
      <c r="N27" s="1">
        <f t="shared" ca="1" si="1"/>
        <v>49.483870967741936</v>
      </c>
      <c r="O27">
        <f t="shared" ca="1" si="2"/>
        <v>43.509287106503237</v>
      </c>
      <c r="P27">
        <f t="shared" ca="1" si="3"/>
        <v>7.3777834193548397</v>
      </c>
    </row>
    <row r="28" spans="1:16" x14ac:dyDescent="0.25">
      <c r="A28">
        <v>5</v>
      </c>
      <c r="B28">
        <v>24</v>
      </c>
      <c r="C28">
        <v>0</v>
      </c>
      <c r="D28">
        <v>0</v>
      </c>
      <c r="E28">
        <v>1000000</v>
      </c>
      <c r="F28">
        <v>0</v>
      </c>
      <c r="K28">
        <f>L27+1</f>
        <v>748</v>
      </c>
      <c r="L28">
        <f t="shared" si="0"/>
        <v>778</v>
      </c>
      <c r="M28">
        <f ca="1">INDIRECT("A"&amp;K28)</f>
        <v>29</v>
      </c>
      <c r="N28" s="1">
        <f t="shared" ca="1" si="1"/>
        <v>72.193548387096769</v>
      </c>
      <c r="O28">
        <f t="shared" ca="1" si="2"/>
        <v>47.569891987011218</v>
      </c>
      <c r="P28">
        <f t="shared" ca="1" si="3"/>
        <v>7.4999285483870972</v>
      </c>
    </row>
    <row r="29" spans="1:16" x14ac:dyDescent="0.25">
      <c r="A29">
        <v>5</v>
      </c>
      <c r="B29">
        <v>25</v>
      </c>
      <c r="C29">
        <v>1</v>
      </c>
      <c r="D29">
        <v>2</v>
      </c>
      <c r="E29">
        <v>2</v>
      </c>
      <c r="F29">
        <v>2</v>
      </c>
      <c r="K29">
        <f t="shared" si="4"/>
        <v>779</v>
      </c>
      <c r="L29">
        <f t="shared" si="0"/>
        <v>809</v>
      </c>
      <c r="M29">
        <f t="shared" ref="M29:M33" ca="1" si="6">INDIRECT("A"&amp;K29)</f>
        <v>30</v>
      </c>
      <c r="N29" s="1">
        <f t="shared" ca="1" si="1"/>
        <v>153.70967741935485</v>
      </c>
      <c r="O29">
        <f t="shared" ca="1" si="2"/>
        <v>290.76820018110499</v>
      </c>
      <c r="P29">
        <f t="shared" ca="1" si="3"/>
        <v>7.9983645161290315</v>
      </c>
    </row>
    <row r="30" spans="1:16" x14ac:dyDescent="0.25">
      <c r="A30">
        <v>5</v>
      </c>
      <c r="B30">
        <v>26</v>
      </c>
      <c r="C30">
        <v>0</v>
      </c>
      <c r="D30">
        <v>0</v>
      </c>
      <c r="E30">
        <v>1000000</v>
      </c>
      <c r="F30">
        <v>0</v>
      </c>
      <c r="K30">
        <f t="shared" si="4"/>
        <v>810</v>
      </c>
      <c r="L30">
        <f t="shared" si="0"/>
        <v>840</v>
      </c>
      <c r="M30">
        <f t="shared" ca="1" si="6"/>
        <v>31</v>
      </c>
      <c r="N30" s="1">
        <f t="shared" ca="1" si="1"/>
        <v>160.51612903225808</v>
      </c>
      <c r="O30">
        <f t="shared" ca="1" si="2"/>
        <v>150.67733095763322</v>
      </c>
      <c r="P30">
        <f t="shared" ca="1" si="3"/>
        <v>8.1860559032258067</v>
      </c>
    </row>
    <row r="31" spans="1:16" x14ac:dyDescent="0.25">
      <c r="A31">
        <v>5</v>
      </c>
      <c r="B31">
        <v>27</v>
      </c>
      <c r="C31">
        <v>0</v>
      </c>
      <c r="D31">
        <v>0</v>
      </c>
      <c r="E31">
        <v>1000000</v>
      </c>
      <c r="F31">
        <v>0</v>
      </c>
      <c r="K31">
        <f t="shared" si="4"/>
        <v>841</v>
      </c>
      <c r="L31">
        <f t="shared" si="0"/>
        <v>871</v>
      </c>
      <c r="M31">
        <f t="shared" ca="1" si="6"/>
        <v>32</v>
      </c>
      <c r="N31" s="1">
        <f t="shared" ca="1" si="1"/>
        <v>264.74193548387098</v>
      </c>
      <c r="O31">
        <f t="shared" ca="1" si="2"/>
        <v>247.58028566398895</v>
      </c>
      <c r="P31">
        <f t="shared" ca="1" si="3"/>
        <v>8.8046712903225792</v>
      </c>
    </row>
    <row r="32" spans="1:16" x14ac:dyDescent="0.25">
      <c r="A32">
        <v>5</v>
      </c>
      <c r="B32">
        <v>28</v>
      </c>
      <c r="C32">
        <v>0</v>
      </c>
      <c r="D32">
        <v>0</v>
      </c>
      <c r="E32">
        <v>1000000</v>
      </c>
      <c r="F32">
        <v>0</v>
      </c>
      <c r="K32">
        <f t="shared" si="4"/>
        <v>872</v>
      </c>
      <c r="L32">
        <f t="shared" si="0"/>
        <v>902</v>
      </c>
      <c r="M32">
        <f t="shared" ca="1" si="6"/>
        <v>33</v>
      </c>
      <c r="N32" s="1">
        <f t="shared" ca="1" si="1"/>
        <v>286.77419354838707</v>
      </c>
      <c r="O32">
        <f t="shared" ca="1" si="2"/>
        <v>195.80104011937209</v>
      </c>
      <c r="P32">
        <f t="shared" ca="1" si="3"/>
        <v>9.4207858064516135</v>
      </c>
    </row>
    <row r="33" spans="1:16" x14ac:dyDescent="0.25">
      <c r="A33">
        <v>5</v>
      </c>
      <c r="B33">
        <v>29</v>
      </c>
      <c r="C33">
        <v>0</v>
      </c>
      <c r="D33">
        <v>0</v>
      </c>
      <c r="E33">
        <v>1000000</v>
      </c>
      <c r="F33">
        <v>0</v>
      </c>
      <c r="K33">
        <f t="shared" si="4"/>
        <v>903</v>
      </c>
      <c r="L33">
        <f t="shared" si="0"/>
        <v>933</v>
      </c>
      <c r="M33">
        <f t="shared" ca="1" si="6"/>
        <v>34</v>
      </c>
      <c r="N33" s="1">
        <f t="shared" ca="1" si="1"/>
        <v>494.35483870967744</v>
      </c>
      <c r="O33">
        <f t="shared" ca="1" si="2"/>
        <v>444.1864884923221</v>
      </c>
      <c r="P33">
        <f t="shared" ca="1" si="3"/>
        <v>9.6559656451612881</v>
      </c>
    </row>
    <row r="34" spans="1:16" x14ac:dyDescent="0.25">
      <c r="A34">
        <v>6</v>
      </c>
      <c r="B34">
        <v>0</v>
      </c>
      <c r="C34">
        <v>0</v>
      </c>
      <c r="D34">
        <v>0</v>
      </c>
      <c r="E34">
        <v>1000000</v>
      </c>
      <c r="F34">
        <v>0</v>
      </c>
      <c r="K34">
        <f t="shared" si="4"/>
        <v>934</v>
      </c>
      <c r="L34">
        <f t="shared" si="0"/>
        <v>964</v>
      </c>
      <c r="M34">
        <f t="shared" ref="M34" ca="1" si="7">INDIRECT("A"&amp;K34)</f>
        <v>36</v>
      </c>
      <c r="N34" s="1">
        <f t="shared" ref="N34" ca="1" si="8">AVERAGE(INDIRECT("C"&amp;K34&amp;":C"&amp;L34))</f>
        <v>562.56666666666672</v>
      </c>
      <c r="O34">
        <f t="shared" ca="1" si="2"/>
        <v>432.99483817368707</v>
      </c>
      <c r="P34">
        <f t="shared" ca="1" si="3"/>
        <v>10.076264633333333</v>
      </c>
    </row>
    <row r="35" spans="1:16" x14ac:dyDescent="0.25">
      <c r="A35">
        <v>6</v>
      </c>
      <c r="B35">
        <v>1</v>
      </c>
      <c r="C35">
        <v>1</v>
      </c>
      <c r="D35">
        <v>2</v>
      </c>
      <c r="E35">
        <v>2</v>
      </c>
      <c r="F35">
        <v>2</v>
      </c>
    </row>
    <row r="36" spans="1:16" x14ac:dyDescent="0.25">
      <c r="A36">
        <v>6</v>
      </c>
      <c r="B36">
        <v>2</v>
      </c>
      <c r="C36">
        <v>0</v>
      </c>
      <c r="D36">
        <v>0</v>
      </c>
      <c r="E36">
        <v>1000000</v>
      </c>
      <c r="F36">
        <v>0</v>
      </c>
    </row>
    <row r="37" spans="1:16" x14ac:dyDescent="0.25">
      <c r="A37">
        <v>6</v>
      </c>
      <c r="B37">
        <v>3</v>
      </c>
      <c r="C37">
        <v>0</v>
      </c>
      <c r="D37">
        <v>0</v>
      </c>
      <c r="E37">
        <v>1000000</v>
      </c>
      <c r="F37">
        <v>0</v>
      </c>
    </row>
    <row r="38" spans="1:16" x14ac:dyDescent="0.25">
      <c r="A38">
        <v>6</v>
      </c>
      <c r="B38">
        <v>4</v>
      </c>
      <c r="C38">
        <v>0</v>
      </c>
      <c r="D38">
        <v>0</v>
      </c>
      <c r="E38">
        <v>1000000</v>
      </c>
      <c r="F38">
        <v>0</v>
      </c>
    </row>
    <row r="39" spans="1:16" x14ac:dyDescent="0.25">
      <c r="A39">
        <v>6</v>
      </c>
      <c r="B39">
        <v>5</v>
      </c>
      <c r="C39">
        <v>0</v>
      </c>
      <c r="D39">
        <v>0</v>
      </c>
      <c r="E39">
        <v>1000000</v>
      </c>
      <c r="F39">
        <v>0</v>
      </c>
    </row>
    <row r="40" spans="1:16" x14ac:dyDescent="0.25">
      <c r="A40">
        <v>6</v>
      </c>
      <c r="B40">
        <v>6</v>
      </c>
      <c r="C40">
        <v>0</v>
      </c>
      <c r="D40">
        <v>0</v>
      </c>
      <c r="E40">
        <v>1000000</v>
      </c>
      <c r="F40">
        <v>0</v>
      </c>
    </row>
    <row r="41" spans="1:16" x14ac:dyDescent="0.25">
      <c r="A41">
        <v>6</v>
      </c>
      <c r="B41">
        <v>7</v>
      </c>
      <c r="C41">
        <v>0</v>
      </c>
      <c r="D41">
        <v>0</v>
      </c>
      <c r="E41">
        <v>1000000</v>
      </c>
      <c r="F41">
        <v>0</v>
      </c>
    </row>
    <row r="42" spans="1:16" x14ac:dyDescent="0.25">
      <c r="A42">
        <v>6</v>
      </c>
      <c r="B42">
        <v>8</v>
      </c>
      <c r="C42">
        <v>0</v>
      </c>
      <c r="D42">
        <v>0</v>
      </c>
      <c r="E42">
        <v>1000000</v>
      </c>
      <c r="F42">
        <v>0</v>
      </c>
    </row>
    <row r="43" spans="1:16" x14ac:dyDescent="0.25">
      <c r="A43">
        <v>6</v>
      </c>
      <c r="B43">
        <v>9</v>
      </c>
      <c r="C43">
        <v>0</v>
      </c>
      <c r="D43">
        <v>0</v>
      </c>
      <c r="E43">
        <v>1000000</v>
      </c>
      <c r="F43">
        <v>0</v>
      </c>
    </row>
    <row r="44" spans="1:16" x14ac:dyDescent="0.25">
      <c r="A44">
        <v>6</v>
      </c>
      <c r="B44">
        <v>10</v>
      </c>
      <c r="C44">
        <v>1</v>
      </c>
      <c r="D44">
        <v>2</v>
      </c>
      <c r="E44">
        <v>2</v>
      </c>
      <c r="F44">
        <v>2</v>
      </c>
    </row>
    <row r="45" spans="1:16" x14ac:dyDescent="0.25">
      <c r="A45">
        <v>6</v>
      </c>
      <c r="B45">
        <v>11</v>
      </c>
      <c r="C45">
        <v>0</v>
      </c>
      <c r="D45">
        <v>0</v>
      </c>
      <c r="E45">
        <v>1000000</v>
      </c>
      <c r="F45">
        <v>0</v>
      </c>
    </row>
    <row r="46" spans="1:16" x14ac:dyDescent="0.25">
      <c r="A46">
        <v>6</v>
      </c>
      <c r="B46">
        <v>12</v>
      </c>
      <c r="C46">
        <v>0</v>
      </c>
      <c r="D46">
        <v>0</v>
      </c>
      <c r="E46">
        <v>1000000</v>
      </c>
      <c r="F46">
        <v>0</v>
      </c>
    </row>
    <row r="47" spans="1:16" x14ac:dyDescent="0.25">
      <c r="A47">
        <v>6</v>
      </c>
      <c r="B47">
        <v>13</v>
      </c>
      <c r="C47">
        <v>0</v>
      </c>
      <c r="D47">
        <v>0</v>
      </c>
      <c r="E47">
        <v>1000000</v>
      </c>
      <c r="F47">
        <v>0</v>
      </c>
    </row>
    <row r="48" spans="1:16" x14ac:dyDescent="0.25">
      <c r="A48">
        <v>6</v>
      </c>
      <c r="B48">
        <v>14</v>
      </c>
      <c r="C48">
        <v>0</v>
      </c>
      <c r="D48">
        <v>0</v>
      </c>
      <c r="E48">
        <v>1000000</v>
      </c>
      <c r="F48">
        <v>0</v>
      </c>
    </row>
    <row r="49" spans="1:6" x14ac:dyDescent="0.25">
      <c r="A49">
        <v>6</v>
      </c>
      <c r="B49">
        <v>15</v>
      </c>
      <c r="C49">
        <v>0</v>
      </c>
      <c r="D49">
        <v>0</v>
      </c>
      <c r="E49">
        <v>1000000</v>
      </c>
      <c r="F49">
        <v>0</v>
      </c>
    </row>
    <row r="50" spans="1:6" x14ac:dyDescent="0.25">
      <c r="A50">
        <v>6</v>
      </c>
      <c r="B50">
        <v>16</v>
      </c>
      <c r="C50">
        <v>1</v>
      </c>
      <c r="D50">
        <v>3</v>
      </c>
      <c r="E50">
        <v>3</v>
      </c>
      <c r="F50">
        <v>3</v>
      </c>
    </row>
    <row r="51" spans="1:6" x14ac:dyDescent="0.25">
      <c r="A51">
        <v>6</v>
      </c>
      <c r="B51">
        <v>17</v>
      </c>
      <c r="C51">
        <v>0</v>
      </c>
      <c r="D51">
        <v>0</v>
      </c>
      <c r="E51">
        <v>1000000</v>
      </c>
      <c r="F51">
        <v>0</v>
      </c>
    </row>
    <row r="52" spans="1:6" x14ac:dyDescent="0.25">
      <c r="A52">
        <v>6</v>
      </c>
      <c r="B52">
        <v>18</v>
      </c>
      <c r="C52">
        <v>0</v>
      </c>
      <c r="D52">
        <v>0</v>
      </c>
      <c r="E52">
        <v>1000000</v>
      </c>
      <c r="F52">
        <v>0</v>
      </c>
    </row>
    <row r="53" spans="1:6" x14ac:dyDescent="0.25">
      <c r="A53">
        <v>6</v>
      </c>
      <c r="B53">
        <v>19</v>
      </c>
      <c r="C53">
        <v>0</v>
      </c>
      <c r="D53">
        <v>0</v>
      </c>
      <c r="E53">
        <v>1000000</v>
      </c>
      <c r="F53">
        <v>0</v>
      </c>
    </row>
    <row r="54" spans="1:6" x14ac:dyDescent="0.25">
      <c r="A54">
        <v>6</v>
      </c>
      <c r="B54">
        <v>20</v>
      </c>
      <c r="C54">
        <v>0</v>
      </c>
      <c r="D54">
        <v>0</v>
      </c>
      <c r="E54">
        <v>1000000</v>
      </c>
      <c r="F54">
        <v>0</v>
      </c>
    </row>
    <row r="55" spans="1:6" x14ac:dyDescent="0.25">
      <c r="A55">
        <v>6</v>
      </c>
      <c r="B55">
        <v>21</v>
      </c>
      <c r="C55">
        <v>0</v>
      </c>
      <c r="D55">
        <v>0</v>
      </c>
      <c r="E55">
        <v>1000000</v>
      </c>
      <c r="F55">
        <v>0</v>
      </c>
    </row>
    <row r="56" spans="1:6" x14ac:dyDescent="0.25">
      <c r="A56">
        <v>6</v>
      </c>
      <c r="B56">
        <v>22</v>
      </c>
      <c r="C56">
        <v>0</v>
      </c>
      <c r="D56">
        <v>0</v>
      </c>
      <c r="E56">
        <v>1000000</v>
      </c>
      <c r="F56">
        <v>0</v>
      </c>
    </row>
    <row r="57" spans="1:6" x14ac:dyDescent="0.25">
      <c r="A57">
        <v>6</v>
      </c>
      <c r="B57">
        <v>23</v>
      </c>
      <c r="C57">
        <v>0</v>
      </c>
      <c r="D57">
        <v>0</v>
      </c>
      <c r="E57">
        <v>1000000</v>
      </c>
      <c r="F57">
        <v>0</v>
      </c>
    </row>
    <row r="58" spans="1:6" x14ac:dyDescent="0.25">
      <c r="A58">
        <v>6</v>
      </c>
      <c r="B58">
        <v>24</v>
      </c>
      <c r="C58">
        <v>0</v>
      </c>
      <c r="D58">
        <v>0</v>
      </c>
      <c r="E58">
        <v>1000000</v>
      </c>
      <c r="F58">
        <v>0</v>
      </c>
    </row>
    <row r="59" spans="1:6" x14ac:dyDescent="0.25">
      <c r="A59">
        <v>6</v>
      </c>
      <c r="B59">
        <v>25</v>
      </c>
      <c r="C59">
        <v>0</v>
      </c>
      <c r="D59">
        <v>0</v>
      </c>
      <c r="E59">
        <v>1000000</v>
      </c>
      <c r="F59">
        <v>0</v>
      </c>
    </row>
    <row r="60" spans="1:6" x14ac:dyDescent="0.25">
      <c r="A60">
        <v>6</v>
      </c>
      <c r="B60">
        <v>26</v>
      </c>
      <c r="C60">
        <v>0</v>
      </c>
      <c r="D60">
        <v>0</v>
      </c>
      <c r="E60">
        <v>1000000</v>
      </c>
      <c r="F60">
        <v>0</v>
      </c>
    </row>
    <row r="61" spans="1:6" x14ac:dyDescent="0.25">
      <c r="A61">
        <v>6</v>
      </c>
      <c r="B61">
        <v>27</v>
      </c>
      <c r="C61">
        <v>0</v>
      </c>
      <c r="D61">
        <v>0</v>
      </c>
      <c r="E61">
        <v>1000000</v>
      </c>
      <c r="F61">
        <v>0</v>
      </c>
    </row>
    <row r="62" spans="1:6" x14ac:dyDescent="0.25">
      <c r="A62">
        <v>6</v>
      </c>
      <c r="B62">
        <v>28</v>
      </c>
      <c r="C62">
        <v>0</v>
      </c>
      <c r="D62">
        <v>0</v>
      </c>
      <c r="E62">
        <v>1000000</v>
      </c>
      <c r="F62">
        <v>0</v>
      </c>
    </row>
    <row r="63" spans="1:6" x14ac:dyDescent="0.25">
      <c r="A63">
        <v>6</v>
      </c>
      <c r="B63">
        <v>29</v>
      </c>
      <c r="C63">
        <v>0</v>
      </c>
      <c r="D63">
        <v>0</v>
      </c>
      <c r="E63">
        <v>1000000</v>
      </c>
      <c r="F63">
        <v>0</v>
      </c>
    </row>
    <row r="64" spans="1:6" x14ac:dyDescent="0.25">
      <c r="A64">
        <v>7</v>
      </c>
      <c r="B64">
        <v>0</v>
      </c>
      <c r="C64">
        <v>0</v>
      </c>
      <c r="D64">
        <v>0</v>
      </c>
      <c r="E64">
        <v>1000000</v>
      </c>
      <c r="F64">
        <v>0</v>
      </c>
    </row>
    <row r="65" spans="1:6" x14ac:dyDescent="0.25">
      <c r="A65">
        <v>7</v>
      </c>
      <c r="B65">
        <v>1</v>
      </c>
      <c r="C65">
        <v>0</v>
      </c>
      <c r="D65">
        <v>0</v>
      </c>
      <c r="E65">
        <v>1000000</v>
      </c>
      <c r="F65">
        <v>0</v>
      </c>
    </row>
    <row r="66" spans="1:6" x14ac:dyDescent="0.25">
      <c r="A66">
        <v>7</v>
      </c>
      <c r="B66">
        <v>2</v>
      </c>
      <c r="C66">
        <v>0</v>
      </c>
      <c r="D66">
        <v>0</v>
      </c>
      <c r="E66">
        <v>1000000</v>
      </c>
      <c r="F66">
        <v>0</v>
      </c>
    </row>
    <row r="67" spans="1:6" x14ac:dyDescent="0.25">
      <c r="A67">
        <v>7</v>
      </c>
      <c r="B67">
        <v>3</v>
      </c>
      <c r="C67">
        <v>0</v>
      </c>
      <c r="D67">
        <v>0</v>
      </c>
      <c r="E67">
        <v>1000000</v>
      </c>
      <c r="F67">
        <v>0</v>
      </c>
    </row>
    <row r="68" spans="1:6" x14ac:dyDescent="0.25">
      <c r="A68">
        <v>7</v>
      </c>
      <c r="B68">
        <v>4</v>
      </c>
      <c r="C68">
        <v>0</v>
      </c>
      <c r="D68">
        <v>0</v>
      </c>
      <c r="E68">
        <v>1000000</v>
      </c>
      <c r="F68">
        <v>0</v>
      </c>
    </row>
    <row r="69" spans="1:6" x14ac:dyDescent="0.25">
      <c r="A69">
        <v>7</v>
      </c>
      <c r="B69">
        <v>5</v>
      </c>
      <c r="C69">
        <v>0</v>
      </c>
      <c r="D69">
        <v>0</v>
      </c>
      <c r="E69">
        <v>1000000</v>
      </c>
      <c r="F69">
        <v>0</v>
      </c>
    </row>
    <row r="70" spans="1:6" x14ac:dyDescent="0.25">
      <c r="A70">
        <v>7</v>
      </c>
      <c r="B70">
        <v>6</v>
      </c>
      <c r="C70">
        <v>0</v>
      </c>
      <c r="D70">
        <v>0</v>
      </c>
      <c r="E70">
        <v>1000000</v>
      </c>
      <c r="F70">
        <v>0</v>
      </c>
    </row>
    <row r="71" spans="1:6" x14ac:dyDescent="0.25">
      <c r="A71">
        <v>7</v>
      </c>
      <c r="B71">
        <v>7</v>
      </c>
      <c r="C71">
        <v>0</v>
      </c>
      <c r="D71">
        <v>0</v>
      </c>
      <c r="E71">
        <v>1000000</v>
      </c>
      <c r="F71">
        <v>0</v>
      </c>
    </row>
    <row r="72" spans="1:6" x14ac:dyDescent="0.25">
      <c r="A72">
        <v>7</v>
      </c>
      <c r="B72">
        <v>8</v>
      </c>
      <c r="C72">
        <v>0</v>
      </c>
      <c r="D72">
        <v>0</v>
      </c>
      <c r="E72">
        <v>1000000</v>
      </c>
      <c r="F72">
        <v>0</v>
      </c>
    </row>
    <row r="73" spans="1:6" x14ac:dyDescent="0.25">
      <c r="A73">
        <v>7</v>
      </c>
      <c r="B73">
        <v>9</v>
      </c>
      <c r="C73">
        <v>0</v>
      </c>
      <c r="D73">
        <v>0</v>
      </c>
      <c r="E73">
        <v>1000000</v>
      </c>
      <c r="F73">
        <v>0</v>
      </c>
    </row>
    <row r="74" spans="1:6" x14ac:dyDescent="0.25">
      <c r="A74">
        <v>7</v>
      </c>
      <c r="B74">
        <v>10</v>
      </c>
      <c r="C74">
        <v>0</v>
      </c>
      <c r="D74">
        <v>0</v>
      </c>
      <c r="E74">
        <v>1000000</v>
      </c>
      <c r="F74">
        <v>0</v>
      </c>
    </row>
    <row r="75" spans="1:6" x14ac:dyDescent="0.25">
      <c r="A75">
        <v>7</v>
      </c>
      <c r="B75">
        <v>11</v>
      </c>
      <c r="C75">
        <v>0</v>
      </c>
      <c r="D75">
        <v>0</v>
      </c>
      <c r="E75">
        <v>1000000</v>
      </c>
      <c r="F75">
        <v>0</v>
      </c>
    </row>
    <row r="76" spans="1:6" x14ac:dyDescent="0.25">
      <c r="A76">
        <v>7</v>
      </c>
      <c r="B76">
        <v>12</v>
      </c>
      <c r="C76">
        <v>0</v>
      </c>
      <c r="D76">
        <v>0</v>
      </c>
      <c r="E76">
        <v>1000000</v>
      </c>
      <c r="F76">
        <v>0</v>
      </c>
    </row>
    <row r="77" spans="1:6" x14ac:dyDescent="0.25">
      <c r="A77">
        <v>7</v>
      </c>
      <c r="B77">
        <v>13</v>
      </c>
      <c r="C77">
        <v>0</v>
      </c>
      <c r="D77">
        <v>0</v>
      </c>
      <c r="E77">
        <v>1000000</v>
      </c>
      <c r="F77">
        <v>0</v>
      </c>
    </row>
    <row r="78" spans="1:6" x14ac:dyDescent="0.25">
      <c r="A78">
        <v>7</v>
      </c>
      <c r="B78">
        <v>14</v>
      </c>
      <c r="C78">
        <v>0</v>
      </c>
      <c r="D78">
        <v>0</v>
      </c>
      <c r="E78">
        <v>1000000</v>
      </c>
      <c r="F78">
        <v>0</v>
      </c>
    </row>
    <row r="79" spans="1:6" x14ac:dyDescent="0.25">
      <c r="A79">
        <v>7</v>
      </c>
      <c r="B79">
        <v>15</v>
      </c>
      <c r="C79">
        <v>0</v>
      </c>
      <c r="D79">
        <v>0</v>
      </c>
      <c r="E79">
        <v>1000000</v>
      </c>
      <c r="F79">
        <v>0</v>
      </c>
    </row>
    <row r="80" spans="1:6" x14ac:dyDescent="0.25">
      <c r="A80">
        <v>7</v>
      </c>
      <c r="B80">
        <v>16</v>
      </c>
      <c r="C80">
        <v>0</v>
      </c>
      <c r="D80">
        <v>0</v>
      </c>
      <c r="E80">
        <v>1000000</v>
      </c>
      <c r="F80">
        <v>0</v>
      </c>
    </row>
    <row r="81" spans="1:6" x14ac:dyDescent="0.25">
      <c r="A81">
        <v>7</v>
      </c>
      <c r="B81">
        <v>17</v>
      </c>
      <c r="C81">
        <v>0</v>
      </c>
      <c r="D81">
        <v>0</v>
      </c>
      <c r="E81">
        <v>1000000</v>
      </c>
      <c r="F81">
        <v>0</v>
      </c>
    </row>
    <row r="82" spans="1:6" x14ac:dyDescent="0.25">
      <c r="A82">
        <v>7</v>
      </c>
      <c r="B82">
        <v>18</v>
      </c>
      <c r="C82">
        <v>0</v>
      </c>
      <c r="D82">
        <v>0</v>
      </c>
      <c r="E82">
        <v>1000000</v>
      </c>
      <c r="F82">
        <v>0</v>
      </c>
    </row>
    <row r="83" spans="1:6" x14ac:dyDescent="0.25">
      <c r="A83">
        <v>7</v>
      </c>
      <c r="B83">
        <v>19</v>
      </c>
      <c r="C83">
        <v>1</v>
      </c>
      <c r="D83">
        <v>2</v>
      </c>
      <c r="E83">
        <v>2</v>
      </c>
      <c r="F83">
        <v>2</v>
      </c>
    </row>
    <row r="84" spans="1:6" x14ac:dyDescent="0.25">
      <c r="A84">
        <v>7</v>
      </c>
      <c r="B84">
        <v>20</v>
      </c>
      <c r="C84">
        <v>0</v>
      </c>
      <c r="D84">
        <v>0</v>
      </c>
      <c r="E84">
        <v>1000000</v>
      </c>
      <c r="F84">
        <v>0</v>
      </c>
    </row>
    <row r="85" spans="1:6" x14ac:dyDescent="0.25">
      <c r="A85">
        <v>7</v>
      </c>
      <c r="B85">
        <v>21</v>
      </c>
      <c r="C85">
        <v>0</v>
      </c>
      <c r="D85">
        <v>0</v>
      </c>
      <c r="E85">
        <v>1000000</v>
      </c>
      <c r="F85">
        <v>0</v>
      </c>
    </row>
    <row r="86" spans="1:6" x14ac:dyDescent="0.25">
      <c r="A86">
        <v>7</v>
      </c>
      <c r="B86">
        <v>22</v>
      </c>
      <c r="C86">
        <v>0</v>
      </c>
      <c r="D86">
        <v>0</v>
      </c>
      <c r="E86">
        <v>1000000</v>
      </c>
      <c r="F86">
        <v>0</v>
      </c>
    </row>
    <row r="87" spans="1:6" x14ac:dyDescent="0.25">
      <c r="A87">
        <v>7</v>
      </c>
      <c r="B87">
        <v>23</v>
      </c>
      <c r="C87">
        <v>0</v>
      </c>
      <c r="D87">
        <v>0</v>
      </c>
      <c r="E87">
        <v>1000000</v>
      </c>
      <c r="F87">
        <v>0</v>
      </c>
    </row>
    <row r="88" spans="1:6" x14ac:dyDescent="0.25">
      <c r="A88">
        <v>7</v>
      </c>
      <c r="B88">
        <v>24</v>
      </c>
      <c r="C88">
        <v>0</v>
      </c>
      <c r="D88">
        <v>0</v>
      </c>
      <c r="E88">
        <v>1000000</v>
      </c>
      <c r="F88">
        <v>0</v>
      </c>
    </row>
    <row r="89" spans="1:6" x14ac:dyDescent="0.25">
      <c r="A89">
        <v>7</v>
      </c>
      <c r="B89">
        <v>25</v>
      </c>
      <c r="C89">
        <v>0</v>
      </c>
      <c r="D89">
        <v>0</v>
      </c>
      <c r="E89">
        <v>1000000</v>
      </c>
      <c r="F89">
        <v>0</v>
      </c>
    </row>
    <row r="90" spans="1:6" x14ac:dyDescent="0.25">
      <c r="A90">
        <v>7</v>
      </c>
      <c r="B90">
        <v>26</v>
      </c>
      <c r="C90">
        <v>0</v>
      </c>
      <c r="D90">
        <v>0</v>
      </c>
      <c r="E90">
        <v>1000000</v>
      </c>
      <c r="F90">
        <v>0</v>
      </c>
    </row>
    <row r="91" spans="1:6" x14ac:dyDescent="0.25">
      <c r="A91">
        <v>7</v>
      </c>
      <c r="B91">
        <v>27</v>
      </c>
      <c r="C91">
        <v>0</v>
      </c>
      <c r="D91">
        <v>0</v>
      </c>
      <c r="E91">
        <v>1000000</v>
      </c>
      <c r="F91">
        <v>0</v>
      </c>
    </row>
    <row r="92" spans="1:6" x14ac:dyDescent="0.25">
      <c r="A92">
        <v>7</v>
      </c>
      <c r="B92">
        <v>28</v>
      </c>
      <c r="C92">
        <v>0</v>
      </c>
      <c r="D92">
        <v>0</v>
      </c>
      <c r="E92">
        <v>1000000</v>
      </c>
      <c r="F92">
        <v>0</v>
      </c>
    </row>
    <row r="93" spans="1:6" x14ac:dyDescent="0.25">
      <c r="A93">
        <v>7</v>
      </c>
      <c r="B93">
        <v>29</v>
      </c>
      <c r="C93">
        <v>1</v>
      </c>
      <c r="D93">
        <v>2</v>
      </c>
      <c r="E93">
        <v>2</v>
      </c>
      <c r="F93">
        <v>2</v>
      </c>
    </row>
    <row r="94" spans="1:6" x14ac:dyDescent="0.25">
      <c r="A94">
        <v>8</v>
      </c>
      <c r="B94">
        <v>0</v>
      </c>
      <c r="C94">
        <v>1</v>
      </c>
      <c r="D94">
        <v>2</v>
      </c>
      <c r="E94">
        <v>2</v>
      </c>
      <c r="F94">
        <v>2</v>
      </c>
    </row>
    <row r="95" spans="1:6" x14ac:dyDescent="0.25">
      <c r="A95">
        <v>8</v>
      </c>
      <c r="B95">
        <v>1</v>
      </c>
      <c r="C95">
        <v>0</v>
      </c>
      <c r="D95">
        <v>0</v>
      </c>
      <c r="E95">
        <v>1000000</v>
      </c>
      <c r="F95">
        <v>0</v>
      </c>
    </row>
    <row r="96" spans="1:6" x14ac:dyDescent="0.25">
      <c r="A96">
        <v>8</v>
      </c>
      <c r="B96">
        <v>2</v>
      </c>
      <c r="C96">
        <v>0</v>
      </c>
      <c r="D96">
        <v>0</v>
      </c>
      <c r="E96">
        <v>1000000</v>
      </c>
      <c r="F96">
        <v>0</v>
      </c>
    </row>
    <row r="97" spans="1:6" x14ac:dyDescent="0.25">
      <c r="A97">
        <v>8</v>
      </c>
      <c r="B97">
        <v>3</v>
      </c>
      <c r="C97">
        <v>0</v>
      </c>
      <c r="D97">
        <v>0</v>
      </c>
      <c r="E97">
        <v>1000000</v>
      </c>
      <c r="F97">
        <v>0</v>
      </c>
    </row>
    <row r="98" spans="1:6" x14ac:dyDescent="0.25">
      <c r="A98">
        <v>8</v>
      </c>
      <c r="B98">
        <v>4</v>
      </c>
      <c r="C98">
        <v>0</v>
      </c>
      <c r="D98">
        <v>0</v>
      </c>
      <c r="E98">
        <v>1000000</v>
      </c>
      <c r="F98">
        <v>0</v>
      </c>
    </row>
    <row r="99" spans="1:6" x14ac:dyDescent="0.25">
      <c r="A99">
        <v>8</v>
      </c>
      <c r="B99">
        <v>5</v>
      </c>
      <c r="C99">
        <v>0</v>
      </c>
      <c r="D99">
        <v>0</v>
      </c>
      <c r="E99">
        <v>1000000</v>
      </c>
      <c r="F99">
        <v>0</v>
      </c>
    </row>
    <row r="100" spans="1:6" x14ac:dyDescent="0.25">
      <c r="A100">
        <v>8</v>
      </c>
      <c r="B100">
        <v>6</v>
      </c>
      <c r="C100">
        <v>1</v>
      </c>
      <c r="D100">
        <v>2</v>
      </c>
      <c r="E100">
        <v>2</v>
      </c>
      <c r="F100">
        <v>2</v>
      </c>
    </row>
    <row r="101" spans="1:6" x14ac:dyDescent="0.25">
      <c r="A101">
        <v>8</v>
      </c>
      <c r="B101">
        <v>7</v>
      </c>
      <c r="C101">
        <v>0</v>
      </c>
      <c r="D101">
        <v>0</v>
      </c>
      <c r="E101">
        <v>1000000</v>
      </c>
      <c r="F101">
        <v>0</v>
      </c>
    </row>
    <row r="102" spans="1:6" x14ac:dyDescent="0.25">
      <c r="A102">
        <v>8</v>
      </c>
      <c r="B102">
        <v>8</v>
      </c>
      <c r="C102">
        <v>0</v>
      </c>
      <c r="D102">
        <v>0</v>
      </c>
      <c r="E102">
        <v>1000000</v>
      </c>
      <c r="F102">
        <v>0</v>
      </c>
    </row>
    <row r="103" spans="1:6" x14ac:dyDescent="0.25">
      <c r="A103">
        <v>8</v>
      </c>
      <c r="B103">
        <v>9</v>
      </c>
      <c r="C103">
        <v>0</v>
      </c>
      <c r="D103">
        <v>0</v>
      </c>
      <c r="E103">
        <v>1000000</v>
      </c>
      <c r="F103">
        <v>0</v>
      </c>
    </row>
    <row r="104" spans="1:6" x14ac:dyDescent="0.25">
      <c r="A104">
        <v>8</v>
      </c>
      <c r="B104">
        <v>10</v>
      </c>
      <c r="C104">
        <v>0</v>
      </c>
      <c r="D104">
        <v>0</v>
      </c>
      <c r="E104">
        <v>1000000</v>
      </c>
      <c r="F104">
        <v>0</v>
      </c>
    </row>
    <row r="105" spans="1:6" x14ac:dyDescent="0.25">
      <c r="A105">
        <v>8</v>
      </c>
      <c r="B105">
        <v>11</v>
      </c>
      <c r="C105">
        <v>0</v>
      </c>
      <c r="D105">
        <v>0</v>
      </c>
      <c r="E105">
        <v>1000000</v>
      </c>
      <c r="F105">
        <v>0</v>
      </c>
    </row>
    <row r="106" spans="1:6" x14ac:dyDescent="0.25">
      <c r="A106">
        <v>8</v>
      </c>
      <c r="B106">
        <v>12</v>
      </c>
      <c r="C106">
        <v>0</v>
      </c>
      <c r="D106">
        <v>0</v>
      </c>
      <c r="E106">
        <v>1000000</v>
      </c>
      <c r="F106">
        <v>0</v>
      </c>
    </row>
    <row r="107" spans="1:6" x14ac:dyDescent="0.25">
      <c r="A107">
        <v>8</v>
      </c>
      <c r="B107">
        <v>13</v>
      </c>
      <c r="C107">
        <v>0</v>
      </c>
      <c r="D107">
        <v>0</v>
      </c>
      <c r="E107">
        <v>1000000</v>
      </c>
      <c r="F107">
        <v>0</v>
      </c>
    </row>
    <row r="108" spans="1:6" x14ac:dyDescent="0.25">
      <c r="A108">
        <v>8</v>
      </c>
      <c r="B108">
        <v>14</v>
      </c>
      <c r="C108">
        <v>0</v>
      </c>
      <c r="D108">
        <v>0</v>
      </c>
      <c r="E108">
        <v>1000000</v>
      </c>
      <c r="F108">
        <v>0</v>
      </c>
    </row>
    <row r="109" spans="1:6" x14ac:dyDescent="0.25">
      <c r="A109">
        <v>8</v>
      </c>
      <c r="B109">
        <v>15</v>
      </c>
      <c r="C109">
        <v>2</v>
      </c>
      <c r="D109">
        <v>2</v>
      </c>
      <c r="E109">
        <v>2</v>
      </c>
      <c r="F109">
        <v>2</v>
      </c>
    </row>
    <row r="110" spans="1:6" x14ac:dyDescent="0.25">
      <c r="A110">
        <v>8</v>
      </c>
      <c r="B110">
        <v>16</v>
      </c>
      <c r="C110">
        <v>0</v>
      </c>
      <c r="D110">
        <v>0</v>
      </c>
      <c r="E110">
        <v>1000000</v>
      </c>
      <c r="F110">
        <v>0</v>
      </c>
    </row>
    <row r="111" spans="1:6" x14ac:dyDescent="0.25">
      <c r="A111">
        <v>8</v>
      </c>
      <c r="B111">
        <v>17</v>
      </c>
      <c r="C111">
        <v>0</v>
      </c>
      <c r="D111">
        <v>0</v>
      </c>
      <c r="E111">
        <v>1000000</v>
      </c>
      <c r="F111">
        <v>0</v>
      </c>
    </row>
    <row r="112" spans="1:6" x14ac:dyDescent="0.25">
      <c r="A112">
        <v>8</v>
      </c>
      <c r="B112">
        <v>18</v>
      </c>
      <c r="C112">
        <v>1</v>
      </c>
      <c r="D112">
        <v>2</v>
      </c>
      <c r="E112">
        <v>2</v>
      </c>
      <c r="F112">
        <v>2</v>
      </c>
    </row>
    <row r="113" spans="1:6" x14ac:dyDescent="0.25">
      <c r="A113">
        <v>8</v>
      </c>
      <c r="B113">
        <v>19</v>
      </c>
      <c r="C113">
        <v>0</v>
      </c>
      <c r="D113">
        <v>0</v>
      </c>
      <c r="E113">
        <v>1000000</v>
      </c>
      <c r="F113">
        <v>0</v>
      </c>
    </row>
    <row r="114" spans="1:6" x14ac:dyDescent="0.25">
      <c r="A114">
        <v>8</v>
      </c>
      <c r="B114">
        <v>20</v>
      </c>
      <c r="C114">
        <v>1</v>
      </c>
      <c r="D114">
        <v>3</v>
      </c>
      <c r="E114">
        <v>3</v>
      </c>
      <c r="F114">
        <v>3</v>
      </c>
    </row>
    <row r="115" spans="1:6" x14ac:dyDescent="0.25">
      <c r="A115">
        <v>8</v>
      </c>
      <c r="B115">
        <v>21</v>
      </c>
      <c r="C115">
        <v>0</v>
      </c>
      <c r="D115">
        <v>0</v>
      </c>
      <c r="E115">
        <v>1000000</v>
      </c>
      <c r="F115">
        <v>0</v>
      </c>
    </row>
    <row r="116" spans="1:6" x14ac:dyDescent="0.25">
      <c r="A116">
        <v>8</v>
      </c>
      <c r="B116">
        <v>22</v>
      </c>
      <c r="C116">
        <v>0</v>
      </c>
      <c r="D116">
        <v>0</v>
      </c>
      <c r="E116">
        <v>1000000</v>
      </c>
      <c r="F116">
        <v>0</v>
      </c>
    </row>
    <row r="117" spans="1:6" x14ac:dyDescent="0.25">
      <c r="A117">
        <v>8</v>
      </c>
      <c r="B117">
        <v>23</v>
      </c>
      <c r="C117">
        <v>1</v>
      </c>
      <c r="D117">
        <v>2</v>
      </c>
      <c r="E117">
        <v>2</v>
      </c>
      <c r="F117">
        <v>2</v>
      </c>
    </row>
    <row r="118" spans="1:6" x14ac:dyDescent="0.25">
      <c r="A118">
        <v>8</v>
      </c>
      <c r="B118">
        <v>24</v>
      </c>
      <c r="C118">
        <v>0</v>
      </c>
      <c r="D118">
        <v>0</v>
      </c>
      <c r="E118">
        <v>1000000</v>
      </c>
      <c r="F118">
        <v>0</v>
      </c>
    </row>
    <row r="119" spans="1:6" x14ac:dyDescent="0.25">
      <c r="A119">
        <v>8</v>
      </c>
      <c r="B119">
        <v>25</v>
      </c>
      <c r="C119">
        <v>0</v>
      </c>
      <c r="D119">
        <v>0</v>
      </c>
      <c r="E119">
        <v>1000000</v>
      </c>
      <c r="F119">
        <v>0</v>
      </c>
    </row>
    <row r="120" spans="1:6" x14ac:dyDescent="0.25">
      <c r="A120">
        <v>8</v>
      </c>
      <c r="B120">
        <v>26</v>
      </c>
      <c r="C120">
        <v>0</v>
      </c>
      <c r="D120">
        <v>0</v>
      </c>
      <c r="E120">
        <v>1000000</v>
      </c>
      <c r="F120">
        <v>0</v>
      </c>
    </row>
    <row r="121" spans="1:6" x14ac:dyDescent="0.25">
      <c r="A121">
        <v>8</v>
      </c>
      <c r="B121">
        <v>27</v>
      </c>
      <c r="C121">
        <v>0</v>
      </c>
      <c r="D121">
        <v>0</v>
      </c>
      <c r="E121">
        <v>1000000</v>
      </c>
      <c r="F121">
        <v>0</v>
      </c>
    </row>
    <row r="122" spans="1:6" x14ac:dyDescent="0.25">
      <c r="A122">
        <v>8</v>
      </c>
      <c r="B122">
        <v>28</v>
      </c>
      <c r="C122">
        <v>0</v>
      </c>
      <c r="D122">
        <v>0</v>
      </c>
      <c r="E122">
        <v>1000000</v>
      </c>
      <c r="F122">
        <v>0</v>
      </c>
    </row>
    <row r="123" spans="1:6" x14ac:dyDescent="0.25">
      <c r="A123">
        <v>8</v>
      </c>
      <c r="B123">
        <v>29</v>
      </c>
      <c r="C123">
        <v>0</v>
      </c>
      <c r="D123">
        <v>0</v>
      </c>
      <c r="E123">
        <v>1000000</v>
      </c>
      <c r="F123">
        <v>0</v>
      </c>
    </row>
    <row r="124" spans="1:6" x14ac:dyDescent="0.25">
      <c r="A124">
        <v>9</v>
      </c>
      <c r="B124">
        <v>0</v>
      </c>
      <c r="C124">
        <v>0</v>
      </c>
      <c r="D124">
        <v>0</v>
      </c>
      <c r="E124">
        <v>1000000</v>
      </c>
      <c r="F124">
        <v>0</v>
      </c>
    </row>
    <row r="125" spans="1:6" x14ac:dyDescent="0.25">
      <c r="A125">
        <v>9</v>
      </c>
      <c r="B125">
        <v>1</v>
      </c>
      <c r="C125">
        <v>0</v>
      </c>
      <c r="D125">
        <v>0</v>
      </c>
      <c r="E125">
        <v>1000000</v>
      </c>
      <c r="F125">
        <v>0</v>
      </c>
    </row>
    <row r="126" spans="1:6" x14ac:dyDescent="0.25">
      <c r="A126">
        <v>9</v>
      </c>
      <c r="B126">
        <v>2</v>
      </c>
      <c r="C126">
        <v>0</v>
      </c>
      <c r="D126">
        <v>0</v>
      </c>
      <c r="E126">
        <v>1000000</v>
      </c>
      <c r="F126">
        <v>0</v>
      </c>
    </row>
    <row r="127" spans="1:6" x14ac:dyDescent="0.25">
      <c r="A127">
        <v>9</v>
      </c>
      <c r="B127">
        <v>3</v>
      </c>
      <c r="C127">
        <v>1</v>
      </c>
      <c r="D127">
        <v>3</v>
      </c>
      <c r="E127">
        <v>3</v>
      </c>
      <c r="F127">
        <v>3</v>
      </c>
    </row>
    <row r="128" spans="1:6" x14ac:dyDescent="0.25">
      <c r="A128">
        <v>9</v>
      </c>
      <c r="B128">
        <v>4</v>
      </c>
      <c r="C128">
        <v>0</v>
      </c>
      <c r="D128">
        <v>0</v>
      </c>
      <c r="E128">
        <v>1000000</v>
      </c>
      <c r="F128">
        <v>0</v>
      </c>
    </row>
    <row r="129" spans="1:6" x14ac:dyDescent="0.25">
      <c r="A129">
        <v>9</v>
      </c>
      <c r="B129">
        <v>5</v>
      </c>
      <c r="C129">
        <v>0</v>
      </c>
      <c r="D129">
        <v>0</v>
      </c>
      <c r="E129">
        <v>1000000</v>
      </c>
      <c r="F129">
        <v>0</v>
      </c>
    </row>
    <row r="130" spans="1:6" x14ac:dyDescent="0.25">
      <c r="A130">
        <v>9</v>
      </c>
      <c r="B130">
        <v>6</v>
      </c>
      <c r="C130">
        <v>1</v>
      </c>
      <c r="D130">
        <v>4</v>
      </c>
      <c r="E130">
        <v>4</v>
      </c>
      <c r="F130">
        <v>4</v>
      </c>
    </row>
    <row r="131" spans="1:6" x14ac:dyDescent="0.25">
      <c r="A131">
        <v>9</v>
      </c>
      <c r="B131">
        <v>7</v>
      </c>
      <c r="C131">
        <v>0</v>
      </c>
      <c r="D131">
        <v>0</v>
      </c>
      <c r="E131">
        <v>1000000</v>
      </c>
      <c r="F131">
        <v>0</v>
      </c>
    </row>
    <row r="132" spans="1:6" x14ac:dyDescent="0.25">
      <c r="A132">
        <v>9</v>
      </c>
      <c r="B132">
        <v>8</v>
      </c>
      <c r="C132">
        <v>0</v>
      </c>
      <c r="D132">
        <v>0</v>
      </c>
      <c r="E132">
        <v>1000000</v>
      </c>
      <c r="F132">
        <v>0</v>
      </c>
    </row>
    <row r="133" spans="1:6" x14ac:dyDescent="0.25">
      <c r="A133">
        <v>9</v>
      </c>
      <c r="B133">
        <v>9</v>
      </c>
      <c r="C133">
        <v>0</v>
      </c>
      <c r="D133">
        <v>0</v>
      </c>
      <c r="E133">
        <v>1000000</v>
      </c>
      <c r="F133">
        <v>0</v>
      </c>
    </row>
    <row r="134" spans="1:6" x14ac:dyDescent="0.25">
      <c r="A134">
        <v>9</v>
      </c>
      <c r="B134">
        <v>10</v>
      </c>
      <c r="C134">
        <v>0</v>
      </c>
      <c r="D134">
        <v>0</v>
      </c>
      <c r="E134">
        <v>1000000</v>
      </c>
      <c r="F134">
        <v>0</v>
      </c>
    </row>
    <row r="135" spans="1:6" x14ac:dyDescent="0.25">
      <c r="A135">
        <v>9</v>
      </c>
      <c r="B135">
        <v>11</v>
      </c>
      <c r="C135">
        <v>1</v>
      </c>
      <c r="D135">
        <v>2</v>
      </c>
      <c r="E135">
        <v>2</v>
      </c>
      <c r="F135">
        <v>2</v>
      </c>
    </row>
    <row r="136" spans="1:6" x14ac:dyDescent="0.25">
      <c r="A136">
        <v>9</v>
      </c>
      <c r="B136">
        <v>12</v>
      </c>
      <c r="C136">
        <v>0</v>
      </c>
      <c r="D136">
        <v>0</v>
      </c>
      <c r="E136">
        <v>1000000</v>
      </c>
      <c r="F136">
        <v>0</v>
      </c>
    </row>
    <row r="137" spans="1:6" x14ac:dyDescent="0.25">
      <c r="A137">
        <v>9</v>
      </c>
      <c r="B137">
        <v>13</v>
      </c>
      <c r="C137">
        <v>0</v>
      </c>
      <c r="D137">
        <v>0</v>
      </c>
      <c r="E137">
        <v>1000000</v>
      </c>
      <c r="F137">
        <v>0</v>
      </c>
    </row>
    <row r="138" spans="1:6" x14ac:dyDescent="0.25">
      <c r="A138">
        <v>9</v>
      </c>
      <c r="B138">
        <v>14</v>
      </c>
      <c r="C138">
        <v>1</v>
      </c>
      <c r="D138">
        <v>2</v>
      </c>
      <c r="E138">
        <v>2</v>
      </c>
      <c r="F138">
        <v>2</v>
      </c>
    </row>
    <row r="139" spans="1:6" x14ac:dyDescent="0.25">
      <c r="A139">
        <v>9</v>
      </c>
      <c r="B139">
        <v>15</v>
      </c>
      <c r="C139">
        <v>0</v>
      </c>
      <c r="D139">
        <v>0</v>
      </c>
      <c r="E139">
        <v>1000000</v>
      </c>
      <c r="F139">
        <v>0</v>
      </c>
    </row>
    <row r="140" spans="1:6" x14ac:dyDescent="0.25">
      <c r="A140">
        <v>9</v>
      </c>
      <c r="B140">
        <v>16</v>
      </c>
      <c r="C140">
        <v>0</v>
      </c>
      <c r="D140">
        <v>0</v>
      </c>
      <c r="E140">
        <v>1000000</v>
      </c>
      <c r="F140">
        <v>0</v>
      </c>
    </row>
    <row r="141" spans="1:6" x14ac:dyDescent="0.25">
      <c r="A141">
        <v>9</v>
      </c>
      <c r="B141">
        <v>17</v>
      </c>
      <c r="C141">
        <v>0</v>
      </c>
      <c r="D141">
        <v>0</v>
      </c>
      <c r="E141">
        <v>1000000</v>
      </c>
      <c r="F141">
        <v>0</v>
      </c>
    </row>
    <row r="142" spans="1:6" x14ac:dyDescent="0.25">
      <c r="A142">
        <v>9</v>
      </c>
      <c r="B142">
        <v>18</v>
      </c>
      <c r="C142">
        <v>0</v>
      </c>
      <c r="D142">
        <v>0</v>
      </c>
      <c r="E142">
        <v>1000000</v>
      </c>
      <c r="F142">
        <v>0</v>
      </c>
    </row>
    <row r="143" spans="1:6" x14ac:dyDescent="0.25">
      <c r="A143">
        <v>9</v>
      </c>
      <c r="B143">
        <v>19</v>
      </c>
      <c r="C143">
        <v>0</v>
      </c>
      <c r="D143">
        <v>0</v>
      </c>
      <c r="E143">
        <v>1000000</v>
      </c>
      <c r="F143">
        <v>0</v>
      </c>
    </row>
    <row r="144" spans="1:6" x14ac:dyDescent="0.25">
      <c r="A144">
        <v>9</v>
      </c>
      <c r="B144">
        <v>20</v>
      </c>
      <c r="C144">
        <v>0</v>
      </c>
      <c r="D144">
        <v>0</v>
      </c>
      <c r="E144">
        <v>1000000</v>
      </c>
      <c r="F144">
        <v>0</v>
      </c>
    </row>
    <row r="145" spans="1:6" x14ac:dyDescent="0.25">
      <c r="A145">
        <v>9</v>
      </c>
      <c r="B145">
        <v>21</v>
      </c>
      <c r="C145">
        <v>0</v>
      </c>
      <c r="D145">
        <v>0</v>
      </c>
      <c r="E145">
        <v>1000000</v>
      </c>
      <c r="F145">
        <v>0</v>
      </c>
    </row>
    <row r="146" spans="1:6" x14ac:dyDescent="0.25">
      <c r="A146">
        <v>9</v>
      </c>
      <c r="B146">
        <v>22</v>
      </c>
      <c r="C146">
        <v>1</v>
      </c>
      <c r="D146">
        <v>2</v>
      </c>
      <c r="E146">
        <v>2</v>
      </c>
      <c r="F146">
        <v>2</v>
      </c>
    </row>
    <row r="147" spans="1:6" x14ac:dyDescent="0.25">
      <c r="A147">
        <v>9</v>
      </c>
      <c r="B147">
        <v>23</v>
      </c>
      <c r="C147">
        <v>0</v>
      </c>
      <c r="D147">
        <v>0</v>
      </c>
      <c r="E147">
        <v>1000000</v>
      </c>
      <c r="F147">
        <v>0</v>
      </c>
    </row>
    <row r="148" spans="1:6" x14ac:dyDescent="0.25">
      <c r="A148">
        <v>9</v>
      </c>
      <c r="B148">
        <v>24</v>
      </c>
      <c r="C148">
        <v>0</v>
      </c>
      <c r="D148">
        <v>0</v>
      </c>
      <c r="E148">
        <v>1000000</v>
      </c>
      <c r="F148">
        <v>0</v>
      </c>
    </row>
    <row r="149" spans="1:6" x14ac:dyDescent="0.25">
      <c r="A149">
        <v>9</v>
      </c>
      <c r="B149">
        <v>25</v>
      </c>
      <c r="C149">
        <v>0</v>
      </c>
      <c r="D149">
        <v>0</v>
      </c>
      <c r="E149">
        <v>1000000</v>
      </c>
      <c r="F149">
        <v>0</v>
      </c>
    </row>
    <row r="150" spans="1:6" x14ac:dyDescent="0.25">
      <c r="A150">
        <v>9</v>
      </c>
      <c r="B150">
        <v>26</v>
      </c>
      <c r="C150">
        <v>0</v>
      </c>
      <c r="D150">
        <v>0</v>
      </c>
      <c r="E150">
        <v>1000000</v>
      </c>
      <c r="F150">
        <v>0</v>
      </c>
    </row>
    <row r="151" spans="1:6" x14ac:dyDescent="0.25">
      <c r="A151">
        <v>9</v>
      </c>
      <c r="B151">
        <v>27</v>
      </c>
      <c r="C151">
        <v>0</v>
      </c>
      <c r="D151">
        <v>0</v>
      </c>
      <c r="E151">
        <v>1000000</v>
      </c>
      <c r="F151">
        <v>0</v>
      </c>
    </row>
    <row r="152" spans="1:6" x14ac:dyDescent="0.25">
      <c r="A152">
        <v>9</v>
      </c>
      <c r="B152">
        <v>28</v>
      </c>
      <c r="C152">
        <v>0</v>
      </c>
      <c r="D152">
        <v>0</v>
      </c>
      <c r="E152">
        <v>1000000</v>
      </c>
      <c r="F152">
        <v>0</v>
      </c>
    </row>
    <row r="153" spans="1:6" x14ac:dyDescent="0.25">
      <c r="A153">
        <v>9</v>
      </c>
      <c r="B153">
        <v>29</v>
      </c>
      <c r="C153">
        <v>0</v>
      </c>
      <c r="D153">
        <v>0</v>
      </c>
      <c r="E153">
        <v>1000000</v>
      </c>
      <c r="F153">
        <v>0</v>
      </c>
    </row>
    <row r="154" spans="1:6" x14ac:dyDescent="0.25">
      <c r="A154">
        <v>10</v>
      </c>
      <c r="B154">
        <v>0</v>
      </c>
      <c r="C154">
        <v>0</v>
      </c>
      <c r="D154">
        <v>0</v>
      </c>
      <c r="E154">
        <v>1000000</v>
      </c>
      <c r="F154">
        <v>0</v>
      </c>
    </row>
    <row r="155" spans="1:6" x14ac:dyDescent="0.25">
      <c r="A155">
        <v>10</v>
      </c>
      <c r="B155">
        <v>1</v>
      </c>
      <c r="C155">
        <v>0</v>
      </c>
      <c r="D155">
        <v>0</v>
      </c>
      <c r="E155">
        <v>1000000</v>
      </c>
      <c r="F155">
        <v>0</v>
      </c>
    </row>
    <row r="156" spans="1:6" x14ac:dyDescent="0.25">
      <c r="A156">
        <v>10</v>
      </c>
      <c r="B156">
        <v>2</v>
      </c>
      <c r="C156">
        <v>0</v>
      </c>
      <c r="D156">
        <v>0</v>
      </c>
      <c r="E156">
        <v>1000000</v>
      </c>
      <c r="F156">
        <v>0</v>
      </c>
    </row>
    <row r="157" spans="1:6" x14ac:dyDescent="0.25">
      <c r="A157">
        <v>10</v>
      </c>
      <c r="B157">
        <v>3</v>
      </c>
      <c r="C157">
        <v>0</v>
      </c>
      <c r="D157">
        <v>0</v>
      </c>
      <c r="E157">
        <v>1000000</v>
      </c>
      <c r="F157">
        <v>0</v>
      </c>
    </row>
    <row r="158" spans="1:6" x14ac:dyDescent="0.25">
      <c r="A158">
        <v>10</v>
      </c>
      <c r="B158">
        <v>4</v>
      </c>
      <c r="C158">
        <v>0</v>
      </c>
      <c r="D158">
        <v>0</v>
      </c>
      <c r="E158">
        <v>1000000</v>
      </c>
      <c r="F158">
        <v>0</v>
      </c>
    </row>
    <row r="159" spans="1:6" x14ac:dyDescent="0.25">
      <c r="A159">
        <v>10</v>
      </c>
      <c r="B159">
        <v>5</v>
      </c>
      <c r="C159">
        <v>0</v>
      </c>
      <c r="D159">
        <v>0</v>
      </c>
      <c r="E159">
        <v>1000000</v>
      </c>
      <c r="F159">
        <v>0</v>
      </c>
    </row>
    <row r="160" spans="1:6" x14ac:dyDescent="0.25">
      <c r="A160">
        <v>10</v>
      </c>
      <c r="B160">
        <v>6</v>
      </c>
      <c r="C160">
        <v>1</v>
      </c>
      <c r="D160">
        <v>2</v>
      </c>
      <c r="E160">
        <v>2</v>
      </c>
      <c r="F160">
        <v>2</v>
      </c>
    </row>
    <row r="161" spans="1:6" x14ac:dyDescent="0.25">
      <c r="A161">
        <v>10</v>
      </c>
      <c r="B161">
        <v>7</v>
      </c>
      <c r="C161">
        <v>0</v>
      </c>
      <c r="D161">
        <v>0</v>
      </c>
      <c r="E161">
        <v>1000000</v>
      </c>
      <c r="F161">
        <v>0</v>
      </c>
    </row>
    <row r="162" spans="1:6" x14ac:dyDescent="0.25">
      <c r="A162">
        <v>10</v>
      </c>
      <c r="B162">
        <v>8</v>
      </c>
      <c r="C162">
        <v>0</v>
      </c>
      <c r="D162">
        <v>0</v>
      </c>
      <c r="E162">
        <v>1000000</v>
      </c>
      <c r="F162">
        <v>0</v>
      </c>
    </row>
    <row r="163" spans="1:6" x14ac:dyDescent="0.25">
      <c r="A163">
        <v>10</v>
      </c>
      <c r="B163">
        <v>9</v>
      </c>
      <c r="C163">
        <v>0</v>
      </c>
      <c r="D163">
        <v>0</v>
      </c>
      <c r="E163">
        <v>1000000</v>
      </c>
      <c r="F163">
        <v>0</v>
      </c>
    </row>
    <row r="164" spans="1:6" x14ac:dyDescent="0.25">
      <c r="A164">
        <v>10</v>
      </c>
      <c r="B164">
        <v>10</v>
      </c>
      <c r="C164">
        <v>1</v>
      </c>
      <c r="D164">
        <v>2</v>
      </c>
      <c r="E164">
        <v>2</v>
      </c>
      <c r="F164">
        <v>2</v>
      </c>
    </row>
    <row r="165" spans="1:6" x14ac:dyDescent="0.25">
      <c r="A165">
        <v>10</v>
      </c>
      <c r="B165">
        <v>11</v>
      </c>
      <c r="C165">
        <v>0</v>
      </c>
      <c r="D165">
        <v>0</v>
      </c>
      <c r="E165">
        <v>1000000</v>
      </c>
      <c r="F165">
        <v>0</v>
      </c>
    </row>
    <row r="166" spans="1:6" x14ac:dyDescent="0.25">
      <c r="A166">
        <v>10</v>
      </c>
      <c r="B166">
        <v>12</v>
      </c>
      <c r="C166">
        <v>0</v>
      </c>
      <c r="D166">
        <v>0</v>
      </c>
      <c r="E166">
        <v>1000000</v>
      </c>
      <c r="F166">
        <v>0</v>
      </c>
    </row>
    <row r="167" spans="1:6" x14ac:dyDescent="0.25">
      <c r="A167">
        <v>10</v>
      </c>
      <c r="B167">
        <v>13</v>
      </c>
      <c r="C167">
        <v>0</v>
      </c>
      <c r="D167">
        <v>0</v>
      </c>
      <c r="E167">
        <v>1000000</v>
      </c>
      <c r="F167">
        <v>0</v>
      </c>
    </row>
    <row r="168" spans="1:6" x14ac:dyDescent="0.25">
      <c r="A168">
        <v>10</v>
      </c>
      <c r="B168">
        <v>14</v>
      </c>
      <c r="C168">
        <v>0</v>
      </c>
      <c r="D168">
        <v>0</v>
      </c>
      <c r="E168">
        <v>1000000</v>
      </c>
      <c r="F168">
        <v>0</v>
      </c>
    </row>
    <row r="169" spans="1:6" x14ac:dyDescent="0.25">
      <c r="A169">
        <v>10</v>
      </c>
      <c r="B169">
        <v>15</v>
      </c>
      <c r="C169">
        <v>0</v>
      </c>
      <c r="D169">
        <v>0</v>
      </c>
      <c r="E169">
        <v>1000000</v>
      </c>
      <c r="F169">
        <v>0</v>
      </c>
    </row>
    <row r="170" spans="1:6" x14ac:dyDescent="0.25">
      <c r="A170">
        <v>10</v>
      </c>
      <c r="B170">
        <v>16</v>
      </c>
      <c r="C170">
        <v>0</v>
      </c>
      <c r="D170">
        <v>0</v>
      </c>
      <c r="E170">
        <v>1000000</v>
      </c>
      <c r="F170">
        <v>0</v>
      </c>
    </row>
    <row r="171" spans="1:6" x14ac:dyDescent="0.25">
      <c r="A171">
        <v>10</v>
      </c>
      <c r="B171">
        <v>17</v>
      </c>
      <c r="C171">
        <v>0</v>
      </c>
      <c r="D171">
        <v>0</v>
      </c>
      <c r="E171">
        <v>1000000</v>
      </c>
      <c r="F171">
        <v>0</v>
      </c>
    </row>
    <row r="172" spans="1:6" x14ac:dyDescent="0.25">
      <c r="A172">
        <v>10</v>
      </c>
      <c r="B172">
        <v>18</v>
      </c>
      <c r="C172">
        <v>0</v>
      </c>
      <c r="D172">
        <v>0</v>
      </c>
      <c r="E172">
        <v>1000000</v>
      </c>
      <c r="F172">
        <v>0</v>
      </c>
    </row>
    <row r="173" spans="1:6" x14ac:dyDescent="0.25">
      <c r="A173">
        <v>10</v>
      </c>
      <c r="B173">
        <v>19</v>
      </c>
      <c r="C173">
        <v>1</v>
      </c>
      <c r="D173">
        <v>2</v>
      </c>
      <c r="E173">
        <v>2</v>
      </c>
      <c r="F173">
        <v>2</v>
      </c>
    </row>
    <row r="174" spans="1:6" x14ac:dyDescent="0.25">
      <c r="A174">
        <v>10</v>
      </c>
      <c r="B174">
        <v>20</v>
      </c>
      <c r="C174">
        <v>1</v>
      </c>
      <c r="D174">
        <v>2</v>
      </c>
      <c r="E174">
        <v>2</v>
      </c>
      <c r="F174">
        <v>2</v>
      </c>
    </row>
    <row r="175" spans="1:6" x14ac:dyDescent="0.25">
      <c r="A175">
        <v>10</v>
      </c>
      <c r="B175">
        <v>21</v>
      </c>
      <c r="C175">
        <v>0</v>
      </c>
      <c r="D175">
        <v>0</v>
      </c>
      <c r="E175">
        <v>1000000</v>
      </c>
      <c r="F175">
        <v>0</v>
      </c>
    </row>
    <row r="176" spans="1:6" x14ac:dyDescent="0.25">
      <c r="A176">
        <v>10</v>
      </c>
      <c r="B176">
        <v>22</v>
      </c>
      <c r="C176">
        <v>0</v>
      </c>
      <c r="D176">
        <v>0</v>
      </c>
      <c r="E176">
        <v>1000000</v>
      </c>
      <c r="F176">
        <v>0</v>
      </c>
    </row>
    <row r="177" spans="1:6" x14ac:dyDescent="0.25">
      <c r="A177">
        <v>10</v>
      </c>
      <c r="B177">
        <v>23</v>
      </c>
      <c r="C177">
        <v>0</v>
      </c>
      <c r="D177">
        <v>0</v>
      </c>
      <c r="E177">
        <v>1000000</v>
      </c>
      <c r="F177">
        <v>0</v>
      </c>
    </row>
    <row r="178" spans="1:6" x14ac:dyDescent="0.25">
      <c r="A178">
        <v>10</v>
      </c>
      <c r="B178">
        <v>24</v>
      </c>
      <c r="C178">
        <v>1</v>
      </c>
      <c r="D178">
        <v>2</v>
      </c>
      <c r="E178">
        <v>2</v>
      </c>
      <c r="F178">
        <v>2</v>
      </c>
    </row>
    <row r="179" spans="1:6" x14ac:dyDescent="0.25">
      <c r="A179">
        <v>10</v>
      </c>
      <c r="B179">
        <v>25</v>
      </c>
      <c r="C179">
        <v>0</v>
      </c>
      <c r="D179">
        <v>0</v>
      </c>
      <c r="E179">
        <v>1000000</v>
      </c>
      <c r="F179">
        <v>0</v>
      </c>
    </row>
    <row r="180" spans="1:6" x14ac:dyDescent="0.25">
      <c r="A180">
        <v>10</v>
      </c>
      <c r="B180">
        <v>26</v>
      </c>
      <c r="C180">
        <v>0</v>
      </c>
      <c r="D180">
        <v>0</v>
      </c>
      <c r="E180">
        <v>1000000</v>
      </c>
      <c r="F180">
        <v>0</v>
      </c>
    </row>
    <row r="181" spans="1:6" x14ac:dyDescent="0.25">
      <c r="A181">
        <v>10</v>
      </c>
      <c r="B181">
        <v>27</v>
      </c>
      <c r="C181">
        <v>1</v>
      </c>
      <c r="D181">
        <v>2</v>
      </c>
      <c r="E181">
        <v>2</v>
      </c>
      <c r="F181">
        <v>2</v>
      </c>
    </row>
    <row r="182" spans="1:6" x14ac:dyDescent="0.25">
      <c r="A182">
        <v>10</v>
      </c>
      <c r="B182">
        <v>28</v>
      </c>
      <c r="C182">
        <v>0</v>
      </c>
      <c r="D182">
        <v>0</v>
      </c>
      <c r="E182">
        <v>1000000</v>
      </c>
      <c r="F182">
        <v>0</v>
      </c>
    </row>
    <row r="183" spans="1:6" x14ac:dyDescent="0.25">
      <c r="A183">
        <v>10</v>
      </c>
      <c r="B183">
        <v>29</v>
      </c>
      <c r="C183">
        <v>0</v>
      </c>
      <c r="D183">
        <v>0</v>
      </c>
      <c r="E183">
        <v>1000000</v>
      </c>
      <c r="F183">
        <v>0</v>
      </c>
    </row>
    <row r="184" spans="1:6" x14ac:dyDescent="0.25">
      <c r="A184">
        <v>11</v>
      </c>
      <c r="B184">
        <v>0</v>
      </c>
      <c r="C184">
        <v>0</v>
      </c>
      <c r="D184">
        <v>0</v>
      </c>
      <c r="E184">
        <v>1000000</v>
      </c>
      <c r="F184">
        <v>0</v>
      </c>
    </row>
    <row r="185" spans="1:6" x14ac:dyDescent="0.25">
      <c r="A185">
        <v>11</v>
      </c>
      <c r="B185">
        <v>1</v>
      </c>
      <c r="C185">
        <v>1</v>
      </c>
      <c r="D185">
        <v>2</v>
      </c>
      <c r="E185">
        <v>2</v>
      </c>
      <c r="F185">
        <v>2</v>
      </c>
    </row>
    <row r="186" spans="1:6" x14ac:dyDescent="0.25">
      <c r="A186">
        <v>11</v>
      </c>
      <c r="B186">
        <v>2</v>
      </c>
      <c r="C186">
        <v>2</v>
      </c>
      <c r="D186">
        <v>2.5</v>
      </c>
      <c r="E186">
        <v>2</v>
      </c>
      <c r="F186">
        <v>3</v>
      </c>
    </row>
    <row r="187" spans="1:6" x14ac:dyDescent="0.25">
      <c r="A187">
        <v>11</v>
      </c>
      <c r="B187">
        <v>3</v>
      </c>
      <c r="C187">
        <v>1</v>
      </c>
      <c r="D187">
        <v>6</v>
      </c>
      <c r="E187">
        <v>6</v>
      </c>
      <c r="F187">
        <v>6</v>
      </c>
    </row>
    <row r="188" spans="1:6" x14ac:dyDescent="0.25">
      <c r="A188">
        <v>11</v>
      </c>
      <c r="B188">
        <v>4</v>
      </c>
      <c r="C188">
        <v>1</v>
      </c>
      <c r="D188">
        <v>2</v>
      </c>
      <c r="E188">
        <v>2</v>
      </c>
      <c r="F188">
        <v>2</v>
      </c>
    </row>
    <row r="189" spans="1:6" x14ac:dyDescent="0.25">
      <c r="A189">
        <v>11</v>
      </c>
      <c r="B189">
        <v>5</v>
      </c>
      <c r="C189">
        <v>0</v>
      </c>
      <c r="D189">
        <v>0</v>
      </c>
      <c r="E189">
        <v>1000000</v>
      </c>
      <c r="F189">
        <v>0</v>
      </c>
    </row>
    <row r="190" spans="1:6" x14ac:dyDescent="0.25">
      <c r="A190">
        <v>11</v>
      </c>
      <c r="B190">
        <v>6</v>
      </c>
      <c r="C190">
        <v>0</v>
      </c>
      <c r="D190">
        <v>0</v>
      </c>
      <c r="E190">
        <v>1000000</v>
      </c>
      <c r="F190">
        <v>0</v>
      </c>
    </row>
    <row r="191" spans="1:6" x14ac:dyDescent="0.25">
      <c r="A191">
        <v>11</v>
      </c>
      <c r="B191">
        <v>7</v>
      </c>
      <c r="C191">
        <v>1</v>
      </c>
      <c r="D191">
        <v>3</v>
      </c>
      <c r="E191">
        <v>3</v>
      </c>
      <c r="F191">
        <v>3</v>
      </c>
    </row>
    <row r="192" spans="1:6" x14ac:dyDescent="0.25">
      <c r="A192">
        <v>11</v>
      </c>
      <c r="B192">
        <v>8</v>
      </c>
      <c r="C192">
        <v>0</v>
      </c>
      <c r="D192">
        <v>0</v>
      </c>
      <c r="E192">
        <v>1000000</v>
      </c>
      <c r="F192">
        <v>0</v>
      </c>
    </row>
    <row r="193" spans="1:6" x14ac:dyDescent="0.25">
      <c r="A193">
        <v>11</v>
      </c>
      <c r="B193">
        <v>9</v>
      </c>
      <c r="C193">
        <v>0</v>
      </c>
      <c r="D193">
        <v>0</v>
      </c>
      <c r="E193">
        <v>1000000</v>
      </c>
      <c r="F193">
        <v>0</v>
      </c>
    </row>
    <row r="194" spans="1:6" x14ac:dyDescent="0.25">
      <c r="A194">
        <v>11</v>
      </c>
      <c r="B194">
        <v>10</v>
      </c>
      <c r="C194">
        <v>0</v>
      </c>
      <c r="D194">
        <v>0</v>
      </c>
      <c r="E194">
        <v>1000000</v>
      </c>
      <c r="F194">
        <v>0</v>
      </c>
    </row>
    <row r="195" spans="1:6" x14ac:dyDescent="0.25">
      <c r="A195">
        <v>11</v>
      </c>
      <c r="B195">
        <v>11</v>
      </c>
      <c r="C195">
        <v>0</v>
      </c>
      <c r="D195">
        <v>0</v>
      </c>
      <c r="E195">
        <v>1000000</v>
      </c>
      <c r="F195">
        <v>0</v>
      </c>
    </row>
    <row r="196" spans="1:6" x14ac:dyDescent="0.25">
      <c r="A196">
        <v>11</v>
      </c>
      <c r="B196">
        <v>12</v>
      </c>
      <c r="C196">
        <v>1</v>
      </c>
      <c r="D196">
        <v>4</v>
      </c>
      <c r="E196">
        <v>4</v>
      </c>
      <c r="F196">
        <v>4</v>
      </c>
    </row>
    <row r="197" spans="1:6" x14ac:dyDescent="0.25">
      <c r="A197">
        <v>11</v>
      </c>
      <c r="B197">
        <v>13</v>
      </c>
      <c r="C197">
        <v>0</v>
      </c>
      <c r="D197">
        <v>0</v>
      </c>
      <c r="E197">
        <v>1000000</v>
      </c>
      <c r="F197">
        <v>0</v>
      </c>
    </row>
    <row r="198" spans="1:6" x14ac:dyDescent="0.25">
      <c r="A198">
        <v>11</v>
      </c>
      <c r="B198">
        <v>14</v>
      </c>
      <c r="C198">
        <v>1</v>
      </c>
      <c r="D198">
        <v>4</v>
      </c>
      <c r="E198">
        <v>4</v>
      </c>
      <c r="F198">
        <v>4</v>
      </c>
    </row>
    <row r="199" spans="1:6" x14ac:dyDescent="0.25">
      <c r="A199">
        <v>11</v>
      </c>
      <c r="B199">
        <v>15</v>
      </c>
      <c r="C199">
        <v>0</v>
      </c>
      <c r="D199">
        <v>0</v>
      </c>
      <c r="E199">
        <v>1000000</v>
      </c>
      <c r="F199">
        <v>0</v>
      </c>
    </row>
    <row r="200" spans="1:6" x14ac:dyDescent="0.25">
      <c r="A200">
        <v>11</v>
      </c>
      <c r="B200">
        <v>16</v>
      </c>
      <c r="C200">
        <v>1</v>
      </c>
      <c r="D200">
        <v>2</v>
      </c>
      <c r="E200">
        <v>2</v>
      </c>
      <c r="F200">
        <v>2</v>
      </c>
    </row>
    <row r="201" spans="1:6" x14ac:dyDescent="0.25">
      <c r="A201">
        <v>11</v>
      </c>
      <c r="B201">
        <v>17</v>
      </c>
      <c r="C201">
        <v>0</v>
      </c>
      <c r="D201">
        <v>0</v>
      </c>
      <c r="E201">
        <v>1000000</v>
      </c>
      <c r="F201">
        <v>0</v>
      </c>
    </row>
    <row r="202" spans="1:6" x14ac:dyDescent="0.25">
      <c r="A202">
        <v>11</v>
      </c>
      <c r="B202">
        <v>18</v>
      </c>
      <c r="C202">
        <v>0</v>
      </c>
      <c r="D202">
        <v>0</v>
      </c>
      <c r="E202">
        <v>1000000</v>
      </c>
      <c r="F202">
        <v>0</v>
      </c>
    </row>
    <row r="203" spans="1:6" x14ac:dyDescent="0.25">
      <c r="A203">
        <v>11</v>
      </c>
      <c r="B203">
        <v>19</v>
      </c>
      <c r="C203">
        <v>1</v>
      </c>
      <c r="D203">
        <v>2</v>
      </c>
      <c r="E203">
        <v>2</v>
      </c>
      <c r="F203">
        <v>2</v>
      </c>
    </row>
    <row r="204" spans="1:6" x14ac:dyDescent="0.25">
      <c r="A204">
        <v>11</v>
      </c>
      <c r="B204">
        <v>20</v>
      </c>
      <c r="C204">
        <v>0</v>
      </c>
      <c r="D204">
        <v>0</v>
      </c>
      <c r="E204">
        <v>1000000</v>
      </c>
      <c r="F204">
        <v>0</v>
      </c>
    </row>
    <row r="205" spans="1:6" x14ac:dyDescent="0.25">
      <c r="A205">
        <v>11</v>
      </c>
      <c r="B205">
        <v>21</v>
      </c>
      <c r="C205">
        <v>0</v>
      </c>
      <c r="D205">
        <v>0</v>
      </c>
      <c r="E205">
        <v>1000000</v>
      </c>
      <c r="F205">
        <v>0</v>
      </c>
    </row>
    <row r="206" spans="1:6" x14ac:dyDescent="0.25">
      <c r="A206">
        <v>11</v>
      </c>
      <c r="B206">
        <v>22</v>
      </c>
      <c r="C206">
        <v>1</v>
      </c>
      <c r="D206">
        <v>2</v>
      </c>
      <c r="E206">
        <v>2</v>
      </c>
      <c r="F206">
        <v>2</v>
      </c>
    </row>
    <row r="207" spans="1:6" x14ac:dyDescent="0.25">
      <c r="A207">
        <v>11</v>
      </c>
      <c r="B207">
        <v>23</v>
      </c>
      <c r="C207">
        <v>0</v>
      </c>
      <c r="D207">
        <v>0</v>
      </c>
      <c r="E207">
        <v>1000000</v>
      </c>
      <c r="F207">
        <v>0</v>
      </c>
    </row>
    <row r="208" spans="1:6" x14ac:dyDescent="0.25">
      <c r="A208">
        <v>11</v>
      </c>
      <c r="B208">
        <v>24</v>
      </c>
      <c r="C208">
        <v>1</v>
      </c>
      <c r="D208">
        <v>2</v>
      </c>
      <c r="E208">
        <v>2</v>
      </c>
      <c r="F208">
        <v>2</v>
      </c>
    </row>
    <row r="209" spans="1:6" x14ac:dyDescent="0.25">
      <c r="A209">
        <v>11</v>
      </c>
      <c r="B209">
        <v>25</v>
      </c>
      <c r="C209">
        <v>0</v>
      </c>
      <c r="D209">
        <v>0</v>
      </c>
      <c r="E209">
        <v>1000000</v>
      </c>
      <c r="F209">
        <v>0</v>
      </c>
    </row>
    <row r="210" spans="1:6" x14ac:dyDescent="0.25">
      <c r="A210">
        <v>11</v>
      </c>
      <c r="B210">
        <v>26</v>
      </c>
      <c r="C210">
        <v>0</v>
      </c>
      <c r="D210">
        <v>0</v>
      </c>
      <c r="E210">
        <v>1000000</v>
      </c>
      <c r="F210">
        <v>0</v>
      </c>
    </row>
    <row r="211" spans="1:6" x14ac:dyDescent="0.25">
      <c r="A211">
        <v>11</v>
      </c>
      <c r="B211">
        <v>27</v>
      </c>
      <c r="C211">
        <v>0</v>
      </c>
      <c r="D211">
        <v>0</v>
      </c>
      <c r="E211">
        <v>1000000</v>
      </c>
      <c r="F211">
        <v>0</v>
      </c>
    </row>
    <row r="212" spans="1:6" x14ac:dyDescent="0.25">
      <c r="A212">
        <v>11</v>
      </c>
      <c r="B212">
        <v>28</v>
      </c>
      <c r="C212">
        <v>0</v>
      </c>
      <c r="D212">
        <v>0</v>
      </c>
      <c r="E212">
        <v>1000000</v>
      </c>
      <c r="F212">
        <v>0</v>
      </c>
    </row>
    <row r="213" spans="1:6" x14ac:dyDescent="0.25">
      <c r="A213">
        <v>11</v>
      </c>
      <c r="B213">
        <v>29</v>
      </c>
      <c r="C213">
        <v>0</v>
      </c>
      <c r="D213">
        <v>0</v>
      </c>
      <c r="E213">
        <v>1000000</v>
      </c>
      <c r="F213">
        <v>0</v>
      </c>
    </row>
    <row r="214" spans="1:6" x14ac:dyDescent="0.25">
      <c r="A214">
        <v>12</v>
      </c>
      <c r="B214">
        <v>0</v>
      </c>
      <c r="C214">
        <v>1</v>
      </c>
      <c r="D214">
        <v>3</v>
      </c>
      <c r="E214">
        <v>3</v>
      </c>
      <c r="F214">
        <v>3</v>
      </c>
    </row>
    <row r="215" spans="1:6" x14ac:dyDescent="0.25">
      <c r="A215">
        <v>12</v>
      </c>
      <c r="B215">
        <v>1</v>
      </c>
      <c r="C215">
        <v>3</v>
      </c>
      <c r="D215">
        <v>3.3333330000000001</v>
      </c>
      <c r="E215">
        <v>2</v>
      </c>
      <c r="F215">
        <v>4</v>
      </c>
    </row>
    <row r="216" spans="1:6" x14ac:dyDescent="0.25">
      <c r="A216">
        <v>12</v>
      </c>
      <c r="B216">
        <v>2</v>
      </c>
      <c r="C216">
        <v>1</v>
      </c>
      <c r="D216">
        <v>3</v>
      </c>
      <c r="E216">
        <v>3</v>
      </c>
      <c r="F216">
        <v>3</v>
      </c>
    </row>
    <row r="217" spans="1:6" x14ac:dyDescent="0.25">
      <c r="A217">
        <v>12</v>
      </c>
      <c r="B217">
        <v>3</v>
      </c>
      <c r="C217">
        <v>0</v>
      </c>
      <c r="D217">
        <v>0</v>
      </c>
      <c r="E217">
        <v>1000000</v>
      </c>
      <c r="F217">
        <v>0</v>
      </c>
    </row>
    <row r="218" spans="1:6" x14ac:dyDescent="0.25">
      <c r="A218">
        <v>12</v>
      </c>
      <c r="B218">
        <v>4</v>
      </c>
      <c r="C218">
        <v>1</v>
      </c>
      <c r="D218">
        <v>2</v>
      </c>
      <c r="E218">
        <v>2</v>
      </c>
      <c r="F218">
        <v>2</v>
      </c>
    </row>
    <row r="219" spans="1:6" x14ac:dyDescent="0.25">
      <c r="A219">
        <v>12</v>
      </c>
      <c r="B219">
        <v>5</v>
      </c>
      <c r="C219">
        <v>0</v>
      </c>
      <c r="D219">
        <v>0</v>
      </c>
      <c r="E219">
        <v>1000000</v>
      </c>
      <c r="F219">
        <v>0</v>
      </c>
    </row>
    <row r="220" spans="1:6" x14ac:dyDescent="0.25">
      <c r="A220">
        <v>12</v>
      </c>
      <c r="B220">
        <v>6</v>
      </c>
      <c r="C220">
        <v>0</v>
      </c>
      <c r="D220">
        <v>0</v>
      </c>
      <c r="E220">
        <v>1000000</v>
      </c>
      <c r="F220">
        <v>0</v>
      </c>
    </row>
    <row r="221" spans="1:6" x14ac:dyDescent="0.25">
      <c r="A221">
        <v>12</v>
      </c>
      <c r="B221">
        <v>7</v>
      </c>
      <c r="C221">
        <v>2</v>
      </c>
      <c r="D221">
        <v>2.5</v>
      </c>
      <c r="E221">
        <v>2</v>
      </c>
      <c r="F221">
        <v>3</v>
      </c>
    </row>
    <row r="222" spans="1:6" x14ac:dyDescent="0.25">
      <c r="A222">
        <v>12</v>
      </c>
      <c r="B222">
        <v>8</v>
      </c>
      <c r="C222">
        <v>0</v>
      </c>
      <c r="D222">
        <v>0</v>
      </c>
      <c r="E222">
        <v>1000000</v>
      </c>
      <c r="F222">
        <v>0</v>
      </c>
    </row>
    <row r="223" spans="1:6" x14ac:dyDescent="0.25">
      <c r="A223">
        <v>12</v>
      </c>
      <c r="B223">
        <v>9</v>
      </c>
      <c r="C223">
        <v>1</v>
      </c>
      <c r="D223">
        <v>2</v>
      </c>
      <c r="E223">
        <v>2</v>
      </c>
      <c r="F223">
        <v>2</v>
      </c>
    </row>
    <row r="224" spans="1:6" x14ac:dyDescent="0.25">
      <c r="A224">
        <v>12</v>
      </c>
      <c r="B224">
        <v>10</v>
      </c>
      <c r="C224">
        <v>1</v>
      </c>
      <c r="D224">
        <v>2</v>
      </c>
      <c r="E224">
        <v>2</v>
      </c>
      <c r="F224">
        <v>2</v>
      </c>
    </row>
    <row r="225" spans="1:6" x14ac:dyDescent="0.25">
      <c r="A225">
        <v>12</v>
      </c>
      <c r="B225">
        <v>11</v>
      </c>
      <c r="C225">
        <v>0</v>
      </c>
      <c r="D225">
        <v>0</v>
      </c>
      <c r="E225">
        <v>1000000</v>
      </c>
      <c r="F225">
        <v>0</v>
      </c>
    </row>
    <row r="226" spans="1:6" x14ac:dyDescent="0.25">
      <c r="A226">
        <v>12</v>
      </c>
      <c r="B226">
        <v>12</v>
      </c>
      <c r="C226">
        <v>0</v>
      </c>
      <c r="D226">
        <v>0</v>
      </c>
      <c r="E226">
        <v>1000000</v>
      </c>
      <c r="F226">
        <v>0</v>
      </c>
    </row>
    <row r="227" spans="1:6" x14ac:dyDescent="0.25">
      <c r="A227">
        <v>12</v>
      </c>
      <c r="B227">
        <v>13</v>
      </c>
      <c r="C227">
        <v>0</v>
      </c>
      <c r="D227">
        <v>0</v>
      </c>
      <c r="E227">
        <v>1000000</v>
      </c>
      <c r="F227">
        <v>0</v>
      </c>
    </row>
    <row r="228" spans="1:6" x14ac:dyDescent="0.25">
      <c r="A228">
        <v>12</v>
      </c>
      <c r="B228">
        <v>14</v>
      </c>
      <c r="C228">
        <v>1</v>
      </c>
      <c r="D228">
        <v>2</v>
      </c>
      <c r="E228">
        <v>2</v>
      </c>
      <c r="F228">
        <v>2</v>
      </c>
    </row>
    <row r="229" spans="1:6" x14ac:dyDescent="0.25">
      <c r="A229">
        <v>12</v>
      </c>
      <c r="B229">
        <v>15</v>
      </c>
      <c r="C229">
        <v>0</v>
      </c>
      <c r="D229">
        <v>0</v>
      </c>
      <c r="E229">
        <v>1000000</v>
      </c>
      <c r="F229">
        <v>0</v>
      </c>
    </row>
    <row r="230" spans="1:6" x14ac:dyDescent="0.25">
      <c r="A230">
        <v>12</v>
      </c>
      <c r="B230">
        <v>16</v>
      </c>
      <c r="C230">
        <v>0</v>
      </c>
      <c r="D230">
        <v>0</v>
      </c>
      <c r="E230">
        <v>1000000</v>
      </c>
      <c r="F230">
        <v>0</v>
      </c>
    </row>
    <row r="231" spans="1:6" x14ac:dyDescent="0.25">
      <c r="A231">
        <v>12</v>
      </c>
      <c r="B231">
        <v>17</v>
      </c>
      <c r="C231">
        <v>0</v>
      </c>
      <c r="D231">
        <v>0</v>
      </c>
      <c r="E231">
        <v>1000000</v>
      </c>
      <c r="F231">
        <v>0</v>
      </c>
    </row>
    <row r="232" spans="1:6" x14ac:dyDescent="0.25">
      <c r="A232">
        <v>12</v>
      </c>
      <c r="B232">
        <v>18</v>
      </c>
      <c r="C232">
        <v>3</v>
      </c>
      <c r="D232">
        <v>3.3333330000000001</v>
      </c>
      <c r="E232">
        <v>2</v>
      </c>
      <c r="F232">
        <v>4</v>
      </c>
    </row>
    <row r="233" spans="1:6" x14ac:dyDescent="0.25">
      <c r="A233">
        <v>12</v>
      </c>
      <c r="B233">
        <v>19</v>
      </c>
      <c r="C233">
        <v>3</v>
      </c>
      <c r="D233">
        <v>2.6666669999999999</v>
      </c>
      <c r="E233">
        <v>2</v>
      </c>
      <c r="F233">
        <v>3</v>
      </c>
    </row>
    <row r="234" spans="1:6" x14ac:dyDescent="0.25">
      <c r="A234">
        <v>12</v>
      </c>
      <c r="B234">
        <v>20</v>
      </c>
      <c r="C234">
        <v>1</v>
      </c>
      <c r="D234">
        <v>2</v>
      </c>
      <c r="E234">
        <v>2</v>
      </c>
      <c r="F234">
        <v>2</v>
      </c>
    </row>
    <row r="235" spans="1:6" x14ac:dyDescent="0.25">
      <c r="A235">
        <v>12</v>
      </c>
      <c r="B235">
        <v>21</v>
      </c>
      <c r="C235">
        <v>2</v>
      </c>
      <c r="D235">
        <v>2.5</v>
      </c>
      <c r="E235">
        <v>2</v>
      </c>
      <c r="F235">
        <v>3</v>
      </c>
    </row>
    <row r="236" spans="1:6" x14ac:dyDescent="0.25">
      <c r="A236">
        <v>12</v>
      </c>
      <c r="B236">
        <v>22</v>
      </c>
      <c r="C236">
        <v>0</v>
      </c>
      <c r="D236">
        <v>0</v>
      </c>
      <c r="E236">
        <v>1000000</v>
      </c>
      <c r="F236">
        <v>0</v>
      </c>
    </row>
    <row r="237" spans="1:6" x14ac:dyDescent="0.25">
      <c r="A237">
        <v>12</v>
      </c>
      <c r="B237">
        <v>23</v>
      </c>
      <c r="C237">
        <v>1</v>
      </c>
      <c r="D237">
        <v>3</v>
      </c>
      <c r="E237">
        <v>3</v>
      </c>
      <c r="F237">
        <v>3</v>
      </c>
    </row>
    <row r="238" spans="1:6" x14ac:dyDescent="0.25">
      <c r="A238">
        <v>12</v>
      </c>
      <c r="B238">
        <v>24</v>
      </c>
      <c r="C238">
        <v>1</v>
      </c>
      <c r="D238">
        <v>4</v>
      </c>
      <c r="E238">
        <v>4</v>
      </c>
      <c r="F238">
        <v>4</v>
      </c>
    </row>
    <row r="239" spans="1:6" x14ac:dyDescent="0.25">
      <c r="A239">
        <v>12</v>
      </c>
      <c r="B239">
        <v>25</v>
      </c>
      <c r="C239">
        <v>2</v>
      </c>
      <c r="D239">
        <v>2</v>
      </c>
      <c r="E239">
        <v>2</v>
      </c>
      <c r="F239">
        <v>2</v>
      </c>
    </row>
    <row r="240" spans="1:6" x14ac:dyDescent="0.25">
      <c r="A240">
        <v>12</v>
      </c>
      <c r="B240">
        <v>26</v>
      </c>
      <c r="C240">
        <v>0</v>
      </c>
      <c r="D240">
        <v>0</v>
      </c>
      <c r="E240">
        <v>1000000</v>
      </c>
      <c r="F240">
        <v>0</v>
      </c>
    </row>
    <row r="241" spans="1:6" x14ac:dyDescent="0.25">
      <c r="A241">
        <v>12</v>
      </c>
      <c r="B241">
        <v>27</v>
      </c>
      <c r="C241">
        <v>0</v>
      </c>
      <c r="D241">
        <v>0</v>
      </c>
      <c r="E241">
        <v>1000000</v>
      </c>
      <c r="F241">
        <v>0</v>
      </c>
    </row>
    <row r="242" spans="1:6" x14ac:dyDescent="0.25">
      <c r="A242">
        <v>12</v>
      </c>
      <c r="B242">
        <v>28</v>
      </c>
      <c r="C242">
        <v>1</v>
      </c>
      <c r="D242">
        <v>2</v>
      </c>
      <c r="E242">
        <v>2</v>
      </c>
      <c r="F242">
        <v>2</v>
      </c>
    </row>
    <row r="243" spans="1:6" x14ac:dyDescent="0.25">
      <c r="A243">
        <v>12</v>
      </c>
      <c r="B243">
        <v>29</v>
      </c>
      <c r="C243">
        <v>2</v>
      </c>
      <c r="D243">
        <v>2.5</v>
      </c>
      <c r="E243">
        <v>2</v>
      </c>
      <c r="F243">
        <v>3</v>
      </c>
    </row>
    <row r="244" spans="1:6" x14ac:dyDescent="0.25">
      <c r="A244">
        <v>13</v>
      </c>
      <c r="B244">
        <v>0</v>
      </c>
      <c r="C244">
        <v>0</v>
      </c>
      <c r="D244">
        <v>0</v>
      </c>
      <c r="E244">
        <v>1000000</v>
      </c>
      <c r="F244">
        <v>0</v>
      </c>
    </row>
    <row r="245" spans="1:6" x14ac:dyDescent="0.25">
      <c r="A245">
        <v>13</v>
      </c>
      <c r="B245">
        <v>1</v>
      </c>
      <c r="C245">
        <v>0</v>
      </c>
      <c r="D245">
        <v>0</v>
      </c>
      <c r="E245">
        <v>1000000</v>
      </c>
      <c r="F245">
        <v>0</v>
      </c>
    </row>
    <row r="246" spans="1:6" x14ac:dyDescent="0.25">
      <c r="A246">
        <v>13</v>
      </c>
      <c r="B246">
        <v>2</v>
      </c>
      <c r="C246">
        <v>0</v>
      </c>
      <c r="D246">
        <v>0</v>
      </c>
      <c r="E246">
        <v>1000000</v>
      </c>
      <c r="F246">
        <v>0</v>
      </c>
    </row>
    <row r="247" spans="1:6" x14ac:dyDescent="0.25">
      <c r="A247">
        <v>13</v>
      </c>
      <c r="B247">
        <v>3</v>
      </c>
      <c r="C247">
        <v>1</v>
      </c>
      <c r="D247">
        <v>4</v>
      </c>
      <c r="E247">
        <v>4</v>
      </c>
      <c r="F247">
        <v>4</v>
      </c>
    </row>
    <row r="248" spans="1:6" x14ac:dyDescent="0.25">
      <c r="A248">
        <v>13</v>
      </c>
      <c r="B248">
        <v>4</v>
      </c>
      <c r="C248">
        <v>3</v>
      </c>
      <c r="D248">
        <v>2.6666669999999999</v>
      </c>
      <c r="E248">
        <v>2</v>
      </c>
      <c r="F248">
        <v>3</v>
      </c>
    </row>
    <row r="249" spans="1:6" x14ac:dyDescent="0.25">
      <c r="A249">
        <v>13</v>
      </c>
      <c r="B249">
        <v>5</v>
      </c>
      <c r="C249">
        <v>2</v>
      </c>
      <c r="D249">
        <v>2.5</v>
      </c>
      <c r="E249">
        <v>2</v>
      </c>
      <c r="F249">
        <v>3</v>
      </c>
    </row>
    <row r="250" spans="1:6" x14ac:dyDescent="0.25">
      <c r="A250">
        <v>13</v>
      </c>
      <c r="B250">
        <v>6</v>
      </c>
      <c r="C250">
        <v>0</v>
      </c>
      <c r="D250">
        <v>0</v>
      </c>
      <c r="E250">
        <v>1000000</v>
      </c>
      <c r="F250">
        <v>0</v>
      </c>
    </row>
    <row r="251" spans="1:6" x14ac:dyDescent="0.25">
      <c r="A251">
        <v>13</v>
      </c>
      <c r="B251">
        <v>7</v>
      </c>
      <c r="C251">
        <v>0</v>
      </c>
      <c r="D251">
        <v>0</v>
      </c>
      <c r="E251">
        <v>1000000</v>
      </c>
      <c r="F251">
        <v>0</v>
      </c>
    </row>
    <row r="252" spans="1:6" x14ac:dyDescent="0.25">
      <c r="A252">
        <v>13</v>
      </c>
      <c r="B252">
        <v>8</v>
      </c>
      <c r="C252">
        <v>0</v>
      </c>
      <c r="D252">
        <v>0</v>
      </c>
      <c r="E252">
        <v>1000000</v>
      </c>
      <c r="F252">
        <v>0</v>
      </c>
    </row>
    <row r="253" spans="1:6" x14ac:dyDescent="0.25">
      <c r="A253">
        <v>13</v>
      </c>
      <c r="B253">
        <v>9</v>
      </c>
      <c r="C253">
        <v>0</v>
      </c>
      <c r="D253">
        <v>0</v>
      </c>
      <c r="E253">
        <v>1000000</v>
      </c>
      <c r="F253">
        <v>0</v>
      </c>
    </row>
    <row r="254" spans="1:6" x14ac:dyDescent="0.25">
      <c r="A254">
        <v>13</v>
      </c>
      <c r="B254">
        <v>10</v>
      </c>
      <c r="C254">
        <v>0</v>
      </c>
      <c r="D254">
        <v>0</v>
      </c>
      <c r="E254">
        <v>1000000</v>
      </c>
      <c r="F254">
        <v>0</v>
      </c>
    </row>
    <row r="255" spans="1:6" x14ac:dyDescent="0.25">
      <c r="A255">
        <v>13</v>
      </c>
      <c r="B255">
        <v>11</v>
      </c>
      <c r="C255">
        <v>1</v>
      </c>
      <c r="D255">
        <v>2</v>
      </c>
      <c r="E255">
        <v>2</v>
      </c>
      <c r="F255">
        <v>2</v>
      </c>
    </row>
    <row r="256" spans="1:6" x14ac:dyDescent="0.25">
      <c r="A256">
        <v>13</v>
      </c>
      <c r="B256">
        <v>12</v>
      </c>
      <c r="C256">
        <v>2</v>
      </c>
      <c r="D256">
        <v>2</v>
      </c>
      <c r="E256">
        <v>2</v>
      </c>
      <c r="F256">
        <v>2</v>
      </c>
    </row>
    <row r="257" spans="1:6" x14ac:dyDescent="0.25">
      <c r="A257">
        <v>13</v>
      </c>
      <c r="B257">
        <v>13</v>
      </c>
      <c r="C257">
        <v>1</v>
      </c>
      <c r="D257">
        <v>2</v>
      </c>
      <c r="E257">
        <v>2</v>
      </c>
      <c r="F257">
        <v>2</v>
      </c>
    </row>
    <row r="258" spans="1:6" x14ac:dyDescent="0.25">
      <c r="A258">
        <v>13</v>
      </c>
      <c r="B258">
        <v>14</v>
      </c>
      <c r="C258">
        <v>0</v>
      </c>
      <c r="D258">
        <v>0</v>
      </c>
      <c r="E258">
        <v>1000000</v>
      </c>
      <c r="F258">
        <v>0</v>
      </c>
    </row>
    <row r="259" spans="1:6" x14ac:dyDescent="0.25">
      <c r="A259">
        <v>13</v>
      </c>
      <c r="B259">
        <v>15</v>
      </c>
      <c r="C259">
        <v>1</v>
      </c>
      <c r="D259">
        <v>2</v>
      </c>
      <c r="E259">
        <v>2</v>
      </c>
      <c r="F259">
        <v>2</v>
      </c>
    </row>
    <row r="260" spans="1:6" x14ac:dyDescent="0.25">
      <c r="A260">
        <v>13</v>
      </c>
      <c r="B260">
        <v>16</v>
      </c>
      <c r="C260">
        <v>0</v>
      </c>
      <c r="D260">
        <v>0</v>
      </c>
      <c r="E260">
        <v>1000000</v>
      </c>
      <c r="F260">
        <v>0</v>
      </c>
    </row>
    <row r="261" spans="1:6" x14ac:dyDescent="0.25">
      <c r="A261">
        <v>13</v>
      </c>
      <c r="B261">
        <v>17</v>
      </c>
      <c r="C261">
        <v>0</v>
      </c>
      <c r="D261">
        <v>0</v>
      </c>
      <c r="E261">
        <v>1000000</v>
      </c>
      <c r="F261">
        <v>0</v>
      </c>
    </row>
    <row r="262" spans="1:6" x14ac:dyDescent="0.25">
      <c r="A262">
        <v>13</v>
      </c>
      <c r="B262">
        <v>18</v>
      </c>
      <c r="C262">
        <v>0</v>
      </c>
      <c r="D262">
        <v>0</v>
      </c>
      <c r="E262">
        <v>1000000</v>
      </c>
      <c r="F262">
        <v>0</v>
      </c>
    </row>
    <row r="263" spans="1:6" x14ac:dyDescent="0.25">
      <c r="A263">
        <v>13</v>
      </c>
      <c r="B263">
        <v>19</v>
      </c>
      <c r="C263">
        <v>2</v>
      </c>
      <c r="D263">
        <v>2</v>
      </c>
      <c r="E263">
        <v>2</v>
      </c>
      <c r="F263">
        <v>2</v>
      </c>
    </row>
    <row r="264" spans="1:6" x14ac:dyDescent="0.25">
      <c r="A264">
        <v>13</v>
      </c>
      <c r="B264">
        <v>20</v>
      </c>
      <c r="C264">
        <v>0</v>
      </c>
      <c r="D264">
        <v>0</v>
      </c>
      <c r="E264">
        <v>1000000</v>
      </c>
      <c r="F264">
        <v>0</v>
      </c>
    </row>
    <row r="265" spans="1:6" x14ac:dyDescent="0.25">
      <c r="A265">
        <v>13</v>
      </c>
      <c r="B265">
        <v>21</v>
      </c>
      <c r="C265">
        <v>0</v>
      </c>
      <c r="D265">
        <v>0</v>
      </c>
      <c r="E265">
        <v>1000000</v>
      </c>
      <c r="F265">
        <v>0</v>
      </c>
    </row>
    <row r="266" spans="1:6" x14ac:dyDescent="0.25">
      <c r="A266">
        <v>13</v>
      </c>
      <c r="B266">
        <v>22</v>
      </c>
      <c r="C266">
        <v>1</v>
      </c>
      <c r="D266">
        <v>3</v>
      </c>
      <c r="E266">
        <v>3</v>
      </c>
      <c r="F266">
        <v>3</v>
      </c>
    </row>
    <row r="267" spans="1:6" x14ac:dyDescent="0.25">
      <c r="A267">
        <v>13</v>
      </c>
      <c r="B267">
        <v>23</v>
      </c>
      <c r="C267">
        <v>1</v>
      </c>
      <c r="D267">
        <v>2</v>
      </c>
      <c r="E267">
        <v>2</v>
      </c>
      <c r="F267">
        <v>2</v>
      </c>
    </row>
    <row r="268" spans="1:6" x14ac:dyDescent="0.25">
      <c r="A268">
        <v>13</v>
      </c>
      <c r="B268">
        <v>24</v>
      </c>
      <c r="C268">
        <v>2</v>
      </c>
      <c r="D268">
        <v>2</v>
      </c>
      <c r="E268">
        <v>2</v>
      </c>
      <c r="F268">
        <v>2</v>
      </c>
    </row>
    <row r="269" spans="1:6" x14ac:dyDescent="0.25">
      <c r="A269">
        <v>13</v>
      </c>
      <c r="B269">
        <v>25</v>
      </c>
      <c r="C269">
        <v>1</v>
      </c>
      <c r="D269">
        <v>4</v>
      </c>
      <c r="E269">
        <v>4</v>
      </c>
      <c r="F269">
        <v>4</v>
      </c>
    </row>
    <row r="270" spans="1:6" x14ac:dyDescent="0.25">
      <c r="A270">
        <v>13</v>
      </c>
      <c r="B270">
        <v>26</v>
      </c>
      <c r="C270">
        <v>3</v>
      </c>
      <c r="D270">
        <v>5.3333329999999997</v>
      </c>
      <c r="E270">
        <v>5</v>
      </c>
      <c r="F270">
        <v>6</v>
      </c>
    </row>
    <row r="271" spans="1:6" x14ac:dyDescent="0.25">
      <c r="A271">
        <v>13</v>
      </c>
      <c r="B271">
        <v>27</v>
      </c>
      <c r="C271">
        <v>0</v>
      </c>
      <c r="D271">
        <v>0</v>
      </c>
      <c r="E271">
        <v>1000000</v>
      </c>
      <c r="F271">
        <v>0</v>
      </c>
    </row>
    <row r="272" spans="1:6" x14ac:dyDescent="0.25">
      <c r="A272">
        <v>13</v>
      </c>
      <c r="B272">
        <v>28</v>
      </c>
      <c r="C272">
        <v>1</v>
      </c>
      <c r="D272">
        <v>5</v>
      </c>
      <c r="E272">
        <v>5</v>
      </c>
      <c r="F272">
        <v>5</v>
      </c>
    </row>
    <row r="273" spans="1:6" x14ac:dyDescent="0.25">
      <c r="A273">
        <v>13</v>
      </c>
      <c r="B273">
        <v>29</v>
      </c>
      <c r="C273">
        <v>0</v>
      </c>
      <c r="D273">
        <v>0</v>
      </c>
      <c r="E273">
        <v>1000000</v>
      </c>
      <c r="F273">
        <v>0</v>
      </c>
    </row>
    <row r="274" spans="1:6" x14ac:dyDescent="0.25">
      <c r="A274">
        <v>14</v>
      </c>
      <c r="B274">
        <v>0</v>
      </c>
      <c r="C274">
        <v>1</v>
      </c>
      <c r="D274">
        <v>4</v>
      </c>
      <c r="E274">
        <v>4</v>
      </c>
      <c r="F274">
        <v>4</v>
      </c>
    </row>
    <row r="275" spans="1:6" x14ac:dyDescent="0.25">
      <c r="A275">
        <v>14</v>
      </c>
      <c r="B275">
        <v>1</v>
      </c>
      <c r="C275">
        <v>3</v>
      </c>
      <c r="D275">
        <v>2</v>
      </c>
      <c r="E275">
        <v>2</v>
      </c>
      <c r="F275">
        <v>2</v>
      </c>
    </row>
    <row r="276" spans="1:6" x14ac:dyDescent="0.25">
      <c r="A276">
        <v>14</v>
      </c>
      <c r="B276">
        <v>2</v>
      </c>
      <c r="C276">
        <v>1</v>
      </c>
      <c r="D276">
        <v>4</v>
      </c>
      <c r="E276">
        <v>4</v>
      </c>
      <c r="F276">
        <v>4</v>
      </c>
    </row>
    <row r="277" spans="1:6" x14ac:dyDescent="0.25">
      <c r="A277">
        <v>14</v>
      </c>
      <c r="B277">
        <v>3</v>
      </c>
      <c r="C277">
        <v>2</v>
      </c>
      <c r="D277">
        <v>3.5</v>
      </c>
      <c r="E277">
        <v>2</v>
      </c>
      <c r="F277">
        <v>5</v>
      </c>
    </row>
    <row r="278" spans="1:6" x14ac:dyDescent="0.25">
      <c r="A278">
        <v>14</v>
      </c>
      <c r="B278">
        <v>4</v>
      </c>
      <c r="C278">
        <v>0</v>
      </c>
      <c r="D278">
        <v>0</v>
      </c>
      <c r="E278">
        <v>1000000</v>
      </c>
      <c r="F278">
        <v>0</v>
      </c>
    </row>
    <row r="279" spans="1:6" x14ac:dyDescent="0.25">
      <c r="A279">
        <v>14</v>
      </c>
      <c r="B279">
        <v>5</v>
      </c>
      <c r="C279">
        <v>2</v>
      </c>
      <c r="D279">
        <v>2.5</v>
      </c>
      <c r="E279">
        <v>2</v>
      </c>
      <c r="F279">
        <v>3</v>
      </c>
    </row>
    <row r="280" spans="1:6" x14ac:dyDescent="0.25">
      <c r="A280">
        <v>14</v>
      </c>
      <c r="B280">
        <v>6</v>
      </c>
      <c r="C280">
        <v>1</v>
      </c>
      <c r="D280">
        <v>2</v>
      </c>
      <c r="E280">
        <v>2</v>
      </c>
      <c r="F280">
        <v>2</v>
      </c>
    </row>
    <row r="281" spans="1:6" x14ac:dyDescent="0.25">
      <c r="A281">
        <v>14</v>
      </c>
      <c r="B281">
        <v>7</v>
      </c>
      <c r="C281">
        <v>0</v>
      </c>
      <c r="D281">
        <v>0</v>
      </c>
      <c r="E281">
        <v>1000000</v>
      </c>
      <c r="F281">
        <v>0</v>
      </c>
    </row>
    <row r="282" spans="1:6" x14ac:dyDescent="0.25">
      <c r="A282">
        <v>14</v>
      </c>
      <c r="B282">
        <v>8</v>
      </c>
      <c r="C282">
        <v>2</v>
      </c>
      <c r="D282">
        <v>2</v>
      </c>
      <c r="E282">
        <v>2</v>
      </c>
      <c r="F282">
        <v>2</v>
      </c>
    </row>
    <row r="283" spans="1:6" x14ac:dyDescent="0.25">
      <c r="A283">
        <v>14</v>
      </c>
      <c r="B283">
        <v>9</v>
      </c>
      <c r="C283">
        <v>1</v>
      </c>
      <c r="D283">
        <v>4</v>
      </c>
      <c r="E283">
        <v>4</v>
      </c>
      <c r="F283">
        <v>4</v>
      </c>
    </row>
    <row r="284" spans="1:6" x14ac:dyDescent="0.25">
      <c r="A284">
        <v>14</v>
      </c>
      <c r="B284">
        <v>10</v>
      </c>
      <c r="C284">
        <v>0</v>
      </c>
      <c r="D284">
        <v>0</v>
      </c>
      <c r="E284">
        <v>1000000</v>
      </c>
      <c r="F284">
        <v>0</v>
      </c>
    </row>
    <row r="285" spans="1:6" x14ac:dyDescent="0.25">
      <c r="A285">
        <v>14</v>
      </c>
      <c r="B285">
        <v>11</v>
      </c>
      <c r="C285">
        <v>0</v>
      </c>
      <c r="D285">
        <v>0</v>
      </c>
      <c r="E285">
        <v>1000000</v>
      </c>
      <c r="F285">
        <v>0</v>
      </c>
    </row>
    <row r="286" spans="1:6" x14ac:dyDescent="0.25">
      <c r="A286">
        <v>14</v>
      </c>
      <c r="B286">
        <v>12</v>
      </c>
      <c r="C286">
        <v>3</v>
      </c>
      <c r="D286">
        <v>3.3333330000000001</v>
      </c>
      <c r="E286">
        <v>2</v>
      </c>
      <c r="F286">
        <v>4</v>
      </c>
    </row>
    <row r="287" spans="1:6" x14ac:dyDescent="0.25">
      <c r="A287">
        <v>14</v>
      </c>
      <c r="B287">
        <v>13</v>
      </c>
      <c r="C287">
        <v>0</v>
      </c>
      <c r="D287">
        <v>0</v>
      </c>
      <c r="E287">
        <v>1000000</v>
      </c>
      <c r="F287">
        <v>0</v>
      </c>
    </row>
    <row r="288" spans="1:6" x14ac:dyDescent="0.25">
      <c r="A288">
        <v>14</v>
      </c>
      <c r="B288">
        <v>14</v>
      </c>
      <c r="C288">
        <v>1</v>
      </c>
      <c r="D288">
        <v>2</v>
      </c>
      <c r="E288">
        <v>2</v>
      </c>
      <c r="F288">
        <v>2</v>
      </c>
    </row>
    <row r="289" spans="1:6" x14ac:dyDescent="0.25">
      <c r="A289">
        <v>14</v>
      </c>
      <c r="B289">
        <v>15</v>
      </c>
      <c r="C289">
        <v>0</v>
      </c>
      <c r="D289">
        <v>0</v>
      </c>
      <c r="E289">
        <v>1000000</v>
      </c>
      <c r="F289">
        <v>0</v>
      </c>
    </row>
    <row r="290" spans="1:6" x14ac:dyDescent="0.25">
      <c r="A290">
        <v>14</v>
      </c>
      <c r="B290">
        <v>16</v>
      </c>
      <c r="C290">
        <v>1</v>
      </c>
      <c r="D290">
        <v>4</v>
      </c>
      <c r="E290">
        <v>4</v>
      </c>
      <c r="F290">
        <v>4</v>
      </c>
    </row>
    <row r="291" spans="1:6" x14ac:dyDescent="0.25">
      <c r="A291">
        <v>14</v>
      </c>
      <c r="B291">
        <v>17</v>
      </c>
      <c r="C291">
        <v>1</v>
      </c>
      <c r="D291">
        <v>3</v>
      </c>
      <c r="E291">
        <v>3</v>
      </c>
      <c r="F291">
        <v>3</v>
      </c>
    </row>
    <row r="292" spans="1:6" x14ac:dyDescent="0.25">
      <c r="A292">
        <v>14</v>
      </c>
      <c r="B292">
        <v>18</v>
      </c>
      <c r="C292">
        <v>0</v>
      </c>
      <c r="D292">
        <v>0</v>
      </c>
      <c r="E292">
        <v>1000000</v>
      </c>
      <c r="F292">
        <v>0</v>
      </c>
    </row>
    <row r="293" spans="1:6" x14ac:dyDescent="0.25">
      <c r="A293">
        <v>14</v>
      </c>
      <c r="B293">
        <v>19</v>
      </c>
      <c r="C293">
        <v>2</v>
      </c>
      <c r="D293">
        <v>3</v>
      </c>
      <c r="E293">
        <v>2</v>
      </c>
      <c r="F293">
        <v>4</v>
      </c>
    </row>
    <row r="294" spans="1:6" x14ac:dyDescent="0.25">
      <c r="A294">
        <v>14</v>
      </c>
      <c r="B294">
        <v>20</v>
      </c>
      <c r="C294">
        <v>0</v>
      </c>
      <c r="D294">
        <v>0</v>
      </c>
      <c r="E294">
        <v>1000000</v>
      </c>
      <c r="F294">
        <v>0</v>
      </c>
    </row>
    <row r="295" spans="1:6" x14ac:dyDescent="0.25">
      <c r="A295">
        <v>14</v>
      </c>
      <c r="B295">
        <v>21</v>
      </c>
      <c r="C295">
        <v>0</v>
      </c>
      <c r="D295">
        <v>0</v>
      </c>
      <c r="E295">
        <v>1000000</v>
      </c>
      <c r="F295">
        <v>0</v>
      </c>
    </row>
    <row r="296" spans="1:6" x14ac:dyDescent="0.25">
      <c r="A296">
        <v>14</v>
      </c>
      <c r="B296">
        <v>22</v>
      </c>
      <c r="C296">
        <v>0</v>
      </c>
      <c r="D296">
        <v>0</v>
      </c>
      <c r="E296">
        <v>1000000</v>
      </c>
      <c r="F296">
        <v>0</v>
      </c>
    </row>
    <row r="297" spans="1:6" x14ac:dyDescent="0.25">
      <c r="A297">
        <v>14</v>
      </c>
      <c r="B297">
        <v>23</v>
      </c>
      <c r="C297">
        <v>0</v>
      </c>
      <c r="D297">
        <v>0</v>
      </c>
      <c r="E297">
        <v>1000000</v>
      </c>
      <c r="F297">
        <v>0</v>
      </c>
    </row>
    <row r="298" spans="1:6" x14ac:dyDescent="0.25">
      <c r="A298">
        <v>14</v>
      </c>
      <c r="B298">
        <v>24</v>
      </c>
      <c r="C298">
        <v>1</v>
      </c>
      <c r="D298">
        <v>3</v>
      </c>
      <c r="E298">
        <v>3</v>
      </c>
      <c r="F298">
        <v>3</v>
      </c>
    </row>
    <row r="299" spans="1:6" x14ac:dyDescent="0.25">
      <c r="A299">
        <v>14</v>
      </c>
      <c r="B299">
        <v>25</v>
      </c>
      <c r="C299">
        <v>0</v>
      </c>
      <c r="D299">
        <v>0</v>
      </c>
      <c r="E299">
        <v>1000000</v>
      </c>
      <c r="F299">
        <v>0</v>
      </c>
    </row>
    <row r="300" spans="1:6" x14ac:dyDescent="0.25">
      <c r="A300">
        <v>14</v>
      </c>
      <c r="B300">
        <v>26</v>
      </c>
      <c r="C300">
        <v>1</v>
      </c>
      <c r="D300">
        <v>2</v>
      </c>
      <c r="E300">
        <v>2</v>
      </c>
      <c r="F300">
        <v>2</v>
      </c>
    </row>
    <row r="301" spans="1:6" x14ac:dyDescent="0.25">
      <c r="A301">
        <v>14</v>
      </c>
      <c r="B301">
        <v>27</v>
      </c>
      <c r="C301">
        <v>1</v>
      </c>
      <c r="D301">
        <v>4</v>
      </c>
      <c r="E301">
        <v>4</v>
      </c>
      <c r="F301">
        <v>4</v>
      </c>
    </row>
    <row r="302" spans="1:6" x14ac:dyDescent="0.25">
      <c r="A302">
        <v>14</v>
      </c>
      <c r="B302">
        <v>28</v>
      </c>
      <c r="C302">
        <v>1</v>
      </c>
      <c r="D302">
        <v>3</v>
      </c>
      <c r="E302">
        <v>3</v>
      </c>
      <c r="F302">
        <v>3</v>
      </c>
    </row>
    <row r="303" spans="1:6" x14ac:dyDescent="0.25">
      <c r="A303">
        <v>14</v>
      </c>
      <c r="B303">
        <v>29</v>
      </c>
      <c r="C303">
        <v>1</v>
      </c>
      <c r="D303">
        <v>3</v>
      </c>
      <c r="E303">
        <v>3</v>
      </c>
      <c r="F303">
        <v>3</v>
      </c>
    </row>
    <row r="304" spans="1:6" x14ac:dyDescent="0.25">
      <c r="A304">
        <v>15</v>
      </c>
      <c r="B304">
        <v>0</v>
      </c>
      <c r="C304">
        <v>1</v>
      </c>
      <c r="D304">
        <v>2</v>
      </c>
      <c r="E304">
        <v>2</v>
      </c>
      <c r="F304">
        <v>2</v>
      </c>
    </row>
    <row r="305" spans="1:6" x14ac:dyDescent="0.25">
      <c r="A305">
        <v>15</v>
      </c>
      <c r="B305">
        <v>1</v>
      </c>
      <c r="C305">
        <v>1</v>
      </c>
      <c r="D305">
        <v>4</v>
      </c>
      <c r="E305">
        <v>4</v>
      </c>
      <c r="F305">
        <v>4</v>
      </c>
    </row>
    <row r="306" spans="1:6" x14ac:dyDescent="0.25">
      <c r="A306">
        <v>15</v>
      </c>
      <c r="B306">
        <v>2</v>
      </c>
      <c r="C306">
        <v>2</v>
      </c>
      <c r="D306">
        <v>2</v>
      </c>
      <c r="E306">
        <v>2</v>
      </c>
      <c r="F306">
        <v>2</v>
      </c>
    </row>
    <row r="307" spans="1:6" x14ac:dyDescent="0.25">
      <c r="A307">
        <v>15</v>
      </c>
      <c r="B307">
        <v>3</v>
      </c>
      <c r="C307">
        <v>1</v>
      </c>
      <c r="D307">
        <v>3</v>
      </c>
      <c r="E307">
        <v>3</v>
      </c>
      <c r="F307">
        <v>3</v>
      </c>
    </row>
    <row r="308" spans="1:6" x14ac:dyDescent="0.25">
      <c r="A308">
        <v>15</v>
      </c>
      <c r="B308">
        <v>4</v>
      </c>
      <c r="C308">
        <v>1</v>
      </c>
      <c r="D308">
        <v>8</v>
      </c>
      <c r="E308">
        <v>8</v>
      </c>
      <c r="F308">
        <v>8</v>
      </c>
    </row>
    <row r="309" spans="1:6" x14ac:dyDescent="0.25">
      <c r="A309">
        <v>15</v>
      </c>
      <c r="B309">
        <v>5</v>
      </c>
      <c r="C309">
        <v>1</v>
      </c>
      <c r="D309">
        <v>4</v>
      </c>
      <c r="E309">
        <v>4</v>
      </c>
      <c r="F309">
        <v>4</v>
      </c>
    </row>
    <row r="310" spans="1:6" x14ac:dyDescent="0.25">
      <c r="A310">
        <v>15</v>
      </c>
      <c r="B310">
        <v>6</v>
      </c>
      <c r="C310">
        <v>1</v>
      </c>
      <c r="D310">
        <v>2</v>
      </c>
      <c r="E310">
        <v>2</v>
      </c>
      <c r="F310">
        <v>2</v>
      </c>
    </row>
    <row r="311" spans="1:6" x14ac:dyDescent="0.25">
      <c r="A311">
        <v>15</v>
      </c>
      <c r="B311">
        <v>7</v>
      </c>
      <c r="C311">
        <v>1</v>
      </c>
      <c r="D311">
        <v>2</v>
      </c>
      <c r="E311">
        <v>2</v>
      </c>
      <c r="F311">
        <v>2</v>
      </c>
    </row>
    <row r="312" spans="1:6" x14ac:dyDescent="0.25">
      <c r="A312">
        <v>15</v>
      </c>
      <c r="B312">
        <v>8</v>
      </c>
      <c r="C312">
        <v>1</v>
      </c>
      <c r="D312">
        <v>4</v>
      </c>
      <c r="E312">
        <v>4</v>
      </c>
      <c r="F312">
        <v>4</v>
      </c>
    </row>
    <row r="313" spans="1:6" x14ac:dyDescent="0.25">
      <c r="A313">
        <v>15</v>
      </c>
      <c r="B313">
        <v>9</v>
      </c>
      <c r="C313">
        <v>2</v>
      </c>
      <c r="D313">
        <v>3</v>
      </c>
      <c r="E313">
        <v>3</v>
      </c>
      <c r="F313">
        <v>3</v>
      </c>
    </row>
    <row r="314" spans="1:6" x14ac:dyDescent="0.25">
      <c r="A314">
        <v>15</v>
      </c>
      <c r="B314">
        <v>10</v>
      </c>
      <c r="C314">
        <v>2</v>
      </c>
      <c r="D314">
        <v>2</v>
      </c>
      <c r="E314">
        <v>2</v>
      </c>
      <c r="F314">
        <v>2</v>
      </c>
    </row>
    <row r="315" spans="1:6" x14ac:dyDescent="0.25">
      <c r="A315">
        <v>15</v>
      </c>
      <c r="B315">
        <v>11</v>
      </c>
      <c r="C315">
        <v>0</v>
      </c>
      <c r="D315">
        <v>0</v>
      </c>
      <c r="E315">
        <v>1000000</v>
      </c>
      <c r="F315">
        <v>0</v>
      </c>
    </row>
    <row r="316" spans="1:6" x14ac:dyDescent="0.25">
      <c r="A316">
        <v>15</v>
      </c>
      <c r="B316">
        <v>12</v>
      </c>
      <c r="C316">
        <v>0</v>
      </c>
      <c r="D316">
        <v>0</v>
      </c>
      <c r="E316">
        <v>1000000</v>
      </c>
      <c r="F316">
        <v>0</v>
      </c>
    </row>
    <row r="317" spans="1:6" x14ac:dyDescent="0.25">
      <c r="A317">
        <v>15</v>
      </c>
      <c r="B317">
        <v>13</v>
      </c>
      <c r="C317">
        <v>1</v>
      </c>
      <c r="D317">
        <v>2</v>
      </c>
      <c r="E317">
        <v>2</v>
      </c>
      <c r="F317">
        <v>2</v>
      </c>
    </row>
    <row r="318" spans="1:6" x14ac:dyDescent="0.25">
      <c r="A318">
        <v>15</v>
      </c>
      <c r="B318">
        <v>14</v>
      </c>
      <c r="C318">
        <v>1</v>
      </c>
      <c r="D318">
        <v>2</v>
      </c>
      <c r="E318">
        <v>2</v>
      </c>
      <c r="F318">
        <v>2</v>
      </c>
    </row>
    <row r="319" spans="1:6" x14ac:dyDescent="0.25">
      <c r="A319">
        <v>15</v>
      </c>
      <c r="B319">
        <v>15</v>
      </c>
      <c r="C319">
        <v>0</v>
      </c>
      <c r="D319">
        <v>0</v>
      </c>
      <c r="E319">
        <v>1000000</v>
      </c>
      <c r="F319">
        <v>0</v>
      </c>
    </row>
    <row r="320" spans="1:6" x14ac:dyDescent="0.25">
      <c r="A320">
        <v>15</v>
      </c>
      <c r="B320">
        <v>16</v>
      </c>
      <c r="C320">
        <v>1</v>
      </c>
      <c r="D320">
        <v>2</v>
      </c>
      <c r="E320">
        <v>2</v>
      </c>
      <c r="F320">
        <v>2</v>
      </c>
    </row>
    <row r="321" spans="1:6" x14ac:dyDescent="0.25">
      <c r="A321">
        <v>15</v>
      </c>
      <c r="B321">
        <v>17</v>
      </c>
      <c r="C321">
        <v>4</v>
      </c>
      <c r="D321">
        <v>4.5</v>
      </c>
      <c r="E321">
        <v>2</v>
      </c>
      <c r="F321">
        <v>6</v>
      </c>
    </row>
    <row r="322" spans="1:6" x14ac:dyDescent="0.25">
      <c r="A322">
        <v>15</v>
      </c>
      <c r="B322">
        <v>18</v>
      </c>
      <c r="C322">
        <v>6</v>
      </c>
      <c r="D322">
        <v>3</v>
      </c>
      <c r="E322">
        <v>2</v>
      </c>
      <c r="F322">
        <v>4</v>
      </c>
    </row>
    <row r="323" spans="1:6" x14ac:dyDescent="0.25">
      <c r="A323">
        <v>15</v>
      </c>
      <c r="B323">
        <v>19</v>
      </c>
      <c r="C323">
        <v>2</v>
      </c>
      <c r="D323">
        <v>3</v>
      </c>
      <c r="E323">
        <v>2</v>
      </c>
      <c r="F323">
        <v>4</v>
      </c>
    </row>
    <row r="324" spans="1:6" x14ac:dyDescent="0.25">
      <c r="A324">
        <v>15</v>
      </c>
      <c r="B324">
        <v>20</v>
      </c>
      <c r="C324">
        <v>1</v>
      </c>
      <c r="D324">
        <v>3</v>
      </c>
      <c r="E324">
        <v>3</v>
      </c>
      <c r="F324">
        <v>3</v>
      </c>
    </row>
    <row r="325" spans="1:6" x14ac:dyDescent="0.25">
      <c r="A325">
        <v>15</v>
      </c>
      <c r="B325">
        <v>21</v>
      </c>
      <c r="C325">
        <v>0</v>
      </c>
      <c r="D325">
        <v>0</v>
      </c>
      <c r="E325">
        <v>1000000</v>
      </c>
      <c r="F325">
        <v>0</v>
      </c>
    </row>
    <row r="326" spans="1:6" x14ac:dyDescent="0.25">
      <c r="A326">
        <v>15</v>
      </c>
      <c r="B326">
        <v>22</v>
      </c>
      <c r="C326">
        <v>3</v>
      </c>
      <c r="D326">
        <v>3.3333330000000001</v>
      </c>
      <c r="E326">
        <v>2</v>
      </c>
      <c r="F326">
        <v>4</v>
      </c>
    </row>
    <row r="327" spans="1:6" x14ac:dyDescent="0.25">
      <c r="A327">
        <v>15</v>
      </c>
      <c r="B327">
        <v>23</v>
      </c>
      <c r="C327">
        <v>3</v>
      </c>
      <c r="D327">
        <v>7.3333329999999997</v>
      </c>
      <c r="E327">
        <v>3</v>
      </c>
      <c r="F327">
        <v>10</v>
      </c>
    </row>
    <row r="328" spans="1:6" x14ac:dyDescent="0.25">
      <c r="A328">
        <v>15</v>
      </c>
      <c r="B328">
        <v>24</v>
      </c>
      <c r="C328">
        <v>1</v>
      </c>
      <c r="D328">
        <v>3</v>
      </c>
      <c r="E328">
        <v>3</v>
      </c>
      <c r="F328">
        <v>3</v>
      </c>
    </row>
    <row r="329" spans="1:6" x14ac:dyDescent="0.25">
      <c r="A329">
        <v>15</v>
      </c>
      <c r="B329">
        <v>25</v>
      </c>
      <c r="C329">
        <v>2</v>
      </c>
      <c r="D329">
        <v>2.5</v>
      </c>
      <c r="E329">
        <v>2</v>
      </c>
      <c r="F329">
        <v>3</v>
      </c>
    </row>
    <row r="330" spans="1:6" x14ac:dyDescent="0.25">
      <c r="A330">
        <v>15</v>
      </c>
      <c r="B330">
        <v>26</v>
      </c>
      <c r="C330">
        <v>0</v>
      </c>
      <c r="D330">
        <v>0</v>
      </c>
      <c r="E330">
        <v>1000000</v>
      </c>
      <c r="F330">
        <v>0</v>
      </c>
    </row>
    <row r="331" spans="1:6" x14ac:dyDescent="0.25">
      <c r="A331">
        <v>15</v>
      </c>
      <c r="B331">
        <v>27</v>
      </c>
      <c r="C331">
        <v>1</v>
      </c>
      <c r="D331">
        <v>4</v>
      </c>
      <c r="E331">
        <v>4</v>
      </c>
      <c r="F331">
        <v>4</v>
      </c>
    </row>
    <row r="332" spans="1:6" x14ac:dyDescent="0.25">
      <c r="A332">
        <v>15</v>
      </c>
      <c r="B332">
        <v>28</v>
      </c>
      <c r="C332">
        <v>1</v>
      </c>
      <c r="D332">
        <v>2</v>
      </c>
      <c r="E332">
        <v>2</v>
      </c>
      <c r="F332">
        <v>2</v>
      </c>
    </row>
    <row r="333" spans="1:6" x14ac:dyDescent="0.25">
      <c r="A333">
        <v>15</v>
      </c>
      <c r="B333">
        <v>29</v>
      </c>
      <c r="C333">
        <v>1</v>
      </c>
      <c r="D333">
        <v>2</v>
      </c>
      <c r="E333">
        <v>2</v>
      </c>
      <c r="F333">
        <v>2</v>
      </c>
    </row>
    <row r="334" spans="1:6" x14ac:dyDescent="0.25">
      <c r="A334">
        <v>16</v>
      </c>
      <c r="B334">
        <v>0</v>
      </c>
      <c r="C334">
        <v>0</v>
      </c>
      <c r="D334">
        <v>0</v>
      </c>
      <c r="E334">
        <v>1000000</v>
      </c>
      <c r="F334">
        <v>0</v>
      </c>
    </row>
    <row r="335" spans="1:6" x14ac:dyDescent="0.25">
      <c r="A335">
        <v>16</v>
      </c>
      <c r="B335">
        <v>1</v>
      </c>
      <c r="C335">
        <v>2</v>
      </c>
      <c r="D335">
        <v>2</v>
      </c>
      <c r="E335">
        <v>2</v>
      </c>
      <c r="F335">
        <v>2</v>
      </c>
    </row>
    <row r="336" spans="1:6" x14ac:dyDescent="0.25">
      <c r="A336">
        <v>16</v>
      </c>
      <c r="B336">
        <v>2</v>
      </c>
      <c r="C336">
        <v>3</v>
      </c>
      <c r="D336">
        <v>4.6666670000000003</v>
      </c>
      <c r="E336">
        <v>4</v>
      </c>
      <c r="F336">
        <v>5</v>
      </c>
    </row>
    <row r="337" spans="1:6" x14ac:dyDescent="0.25">
      <c r="A337">
        <v>16</v>
      </c>
      <c r="B337">
        <v>3</v>
      </c>
      <c r="C337">
        <v>0</v>
      </c>
      <c r="D337">
        <v>0</v>
      </c>
      <c r="E337">
        <v>1000000</v>
      </c>
      <c r="F337">
        <v>0</v>
      </c>
    </row>
    <row r="338" spans="1:6" x14ac:dyDescent="0.25">
      <c r="A338">
        <v>16</v>
      </c>
      <c r="B338">
        <v>4</v>
      </c>
      <c r="C338">
        <v>2</v>
      </c>
      <c r="D338">
        <v>2</v>
      </c>
      <c r="E338">
        <v>2</v>
      </c>
      <c r="F338">
        <v>2</v>
      </c>
    </row>
    <row r="339" spans="1:6" x14ac:dyDescent="0.25">
      <c r="A339">
        <v>16</v>
      </c>
      <c r="B339">
        <v>5</v>
      </c>
      <c r="C339">
        <v>4</v>
      </c>
      <c r="D339">
        <v>3</v>
      </c>
      <c r="E339">
        <v>2</v>
      </c>
      <c r="F339">
        <v>4</v>
      </c>
    </row>
    <row r="340" spans="1:6" x14ac:dyDescent="0.25">
      <c r="A340">
        <v>16</v>
      </c>
      <c r="B340">
        <v>6</v>
      </c>
      <c r="C340">
        <v>0</v>
      </c>
      <c r="D340">
        <v>0</v>
      </c>
      <c r="E340">
        <v>1000000</v>
      </c>
      <c r="F340">
        <v>0</v>
      </c>
    </row>
    <row r="341" spans="1:6" x14ac:dyDescent="0.25">
      <c r="A341">
        <v>16</v>
      </c>
      <c r="B341">
        <v>7</v>
      </c>
      <c r="C341">
        <v>0</v>
      </c>
      <c r="D341">
        <v>0</v>
      </c>
      <c r="E341">
        <v>1000000</v>
      </c>
      <c r="F341">
        <v>0</v>
      </c>
    </row>
    <row r="342" spans="1:6" x14ac:dyDescent="0.25">
      <c r="A342">
        <v>16</v>
      </c>
      <c r="B342">
        <v>8</v>
      </c>
      <c r="C342">
        <v>2</v>
      </c>
      <c r="D342">
        <v>2</v>
      </c>
      <c r="E342">
        <v>2</v>
      </c>
      <c r="F342">
        <v>2</v>
      </c>
    </row>
    <row r="343" spans="1:6" x14ac:dyDescent="0.25">
      <c r="A343">
        <v>16</v>
      </c>
      <c r="B343">
        <v>9</v>
      </c>
      <c r="C343">
        <v>1</v>
      </c>
      <c r="D343">
        <v>2</v>
      </c>
      <c r="E343">
        <v>2</v>
      </c>
      <c r="F343">
        <v>2</v>
      </c>
    </row>
    <row r="344" spans="1:6" x14ac:dyDescent="0.25">
      <c r="A344">
        <v>16</v>
      </c>
      <c r="B344">
        <v>10</v>
      </c>
      <c r="C344">
        <v>1</v>
      </c>
      <c r="D344">
        <v>6</v>
      </c>
      <c r="E344">
        <v>6</v>
      </c>
      <c r="F344">
        <v>6</v>
      </c>
    </row>
    <row r="345" spans="1:6" x14ac:dyDescent="0.25">
      <c r="A345">
        <v>16</v>
      </c>
      <c r="B345">
        <v>11</v>
      </c>
      <c r="C345">
        <v>1</v>
      </c>
      <c r="D345">
        <v>2</v>
      </c>
      <c r="E345">
        <v>2</v>
      </c>
      <c r="F345">
        <v>2</v>
      </c>
    </row>
    <row r="346" spans="1:6" x14ac:dyDescent="0.25">
      <c r="A346">
        <v>16</v>
      </c>
      <c r="B346">
        <v>12</v>
      </c>
      <c r="C346">
        <v>3</v>
      </c>
      <c r="D346">
        <v>3</v>
      </c>
      <c r="E346">
        <v>2</v>
      </c>
      <c r="F346">
        <v>4</v>
      </c>
    </row>
    <row r="347" spans="1:6" x14ac:dyDescent="0.25">
      <c r="A347">
        <v>16</v>
      </c>
      <c r="B347">
        <v>13</v>
      </c>
      <c r="C347">
        <v>2</v>
      </c>
      <c r="D347">
        <v>4.5</v>
      </c>
      <c r="E347">
        <v>4</v>
      </c>
      <c r="F347">
        <v>5</v>
      </c>
    </row>
    <row r="348" spans="1:6" x14ac:dyDescent="0.25">
      <c r="A348">
        <v>16</v>
      </c>
      <c r="B348">
        <v>14</v>
      </c>
      <c r="C348">
        <v>0</v>
      </c>
      <c r="D348">
        <v>0</v>
      </c>
      <c r="E348">
        <v>1000000</v>
      </c>
      <c r="F348">
        <v>0</v>
      </c>
    </row>
    <row r="349" spans="1:6" x14ac:dyDescent="0.25">
      <c r="A349">
        <v>16</v>
      </c>
      <c r="B349">
        <v>15</v>
      </c>
      <c r="C349">
        <v>3</v>
      </c>
      <c r="D349">
        <v>6.6666670000000003</v>
      </c>
      <c r="E349">
        <v>5</v>
      </c>
      <c r="F349">
        <v>9</v>
      </c>
    </row>
    <row r="350" spans="1:6" x14ac:dyDescent="0.25">
      <c r="A350">
        <v>16</v>
      </c>
      <c r="B350">
        <v>16</v>
      </c>
      <c r="C350">
        <v>1</v>
      </c>
      <c r="D350">
        <v>3</v>
      </c>
      <c r="E350">
        <v>3</v>
      </c>
      <c r="F350">
        <v>3</v>
      </c>
    </row>
    <row r="351" spans="1:6" x14ac:dyDescent="0.25">
      <c r="A351">
        <v>16</v>
      </c>
      <c r="B351">
        <v>17</v>
      </c>
      <c r="C351">
        <v>1</v>
      </c>
      <c r="D351">
        <v>4</v>
      </c>
      <c r="E351">
        <v>4</v>
      </c>
      <c r="F351">
        <v>4</v>
      </c>
    </row>
    <row r="352" spans="1:6" x14ac:dyDescent="0.25">
      <c r="A352">
        <v>16</v>
      </c>
      <c r="B352">
        <v>18</v>
      </c>
      <c r="C352">
        <v>1</v>
      </c>
      <c r="D352">
        <v>3</v>
      </c>
      <c r="E352">
        <v>3</v>
      </c>
      <c r="F352">
        <v>3</v>
      </c>
    </row>
    <row r="353" spans="1:6" x14ac:dyDescent="0.25">
      <c r="A353">
        <v>16</v>
      </c>
      <c r="B353">
        <v>19</v>
      </c>
      <c r="C353">
        <v>1</v>
      </c>
      <c r="D353">
        <v>4</v>
      </c>
      <c r="E353">
        <v>4</v>
      </c>
      <c r="F353">
        <v>4</v>
      </c>
    </row>
    <row r="354" spans="1:6" x14ac:dyDescent="0.25">
      <c r="A354">
        <v>16</v>
      </c>
      <c r="B354">
        <v>20</v>
      </c>
      <c r="C354">
        <v>1</v>
      </c>
      <c r="D354">
        <v>3</v>
      </c>
      <c r="E354">
        <v>3</v>
      </c>
      <c r="F354">
        <v>3</v>
      </c>
    </row>
    <row r="355" spans="1:6" x14ac:dyDescent="0.25">
      <c r="A355">
        <v>16</v>
      </c>
      <c r="B355">
        <v>21</v>
      </c>
      <c r="C355">
        <v>0</v>
      </c>
      <c r="D355">
        <v>0</v>
      </c>
      <c r="E355">
        <v>1000000</v>
      </c>
      <c r="F355">
        <v>0</v>
      </c>
    </row>
    <row r="356" spans="1:6" x14ac:dyDescent="0.25">
      <c r="A356">
        <v>16</v>
      </c>
      <c r="B356">
        <v>22</v>
      </c>
      <c r="C356">
        <v>1</v>
      </c>
      <c r="D356">
        <v>3</v>
      </c>
      <c r="E356">
        <v>3</v>
      </c>
      <c r="F356">
        <v>3</v>
      </c>
    </row>
    <row r="357" spans="1:6" x14ac:dyDescent="0.25">
      <c r="A357">
        <v>16</v>
      </c>
      <c r="B357">
        <v>23</v>
      </c>
      <c r="C357">
        <v>0</v>
      </c>
      <c r="D357">
        <v>0</v>
      </c>
      <c r="E357">
        <v>1000000</v>
      </c>
      <c r="F357">
        <v>0</v>
      </c>
    </row>
    <row r="358" spans="1:6" x14ac:dyDescent="0.25">
      <c r="A358">
        <v>16</v>
      </c>
      <c r="B358">
        <v>24</v>
      </c>
      <c r="C358">
        <v>3</v>
      </c>
      <c r="D358">
        <v>4.6666670000000003</v>
      </c>
      <c r="E358">
        <v>3</v>
      </c>
      <c r="F358">
        <v>6</v>
      </c>
    </row>
    <row r="359" spans="1:6" x14ac:dyDescent="0.25">
      <c r="A359">
        <v>16</v>
      </c>
      <c r="B359">
        <v>25</v>
      </c>
      <c r="C359">
        <v>1</v>
      </c>
      <c r="D359">
        <v>4</v>
      </c>
      <c r="E359">
        <v>4</v>
      </c>
      <c r="F359">
        <v>4</v>
      </c>
    </row>
    <row r="360" spans="1:6" x14ac:dyDescent="0.25">
      <c r="A360">
        <v>16</v>
      </c>
      <c r="B360">
        <v>26</v>
      </c>
      <c r="C360">
        <v>1</v>
      </c>
      <c r="D360">
        <v>2</v>
      </c>
      <c r="E360">
        <v>2</v>
      </c>
      <c r="F360">
        <v>2</v>
      </c>
    </row>
    <row r="361" spans="1:6" x14ac:dyDescent="0.25">
      <c r="A361">
        <v>16</v>
      </c>
      <c r="B361">
        <v>27</v>
      </c>
      <c r="C361">
        <v>4</v>
      </c>
      <c r="D361">
        <v>3</v>
      </c>
      <c r="E361">
        <v>2</v>
      </c>
      <c r="F361">
        <v>4</v>
      </c>
    </row>
    <row r="362" spans="1:6" x14ac:dyDescent="0.25">
      <c r="A362">
        <v>16</v>
      </c>
      <c r="B362">
        <v>28</v>
      </c>
      <c r="C362">
        <v>0</v>
      </c>
      <c r="D362">
        <v>0</v>
      </c>
      <c r="E362">
        <v>1000000</v>
      </c>
      <c r="F362">
        <v>0</v>
      </c>
    </row>
    <row r="363" spans="1:6" x14ac:dyDescent="0.25">
      <c r="A363">
        <v>16</v>
      </c>
      <c r="B363">
        <v>29</v>
      </c>
      <c r="C363">
        <v>0</v>
      </c>
      <c r="D363">
        <v>0</v>
      </c>
      <c r="E363">
        <v>1000000</v>
      </c>
      <c r="F363">
        <v>0</v>
      </c>
    </row>
    <row r="364" spans="1:6" x14ac:dyDescent="0.25">
      <c r="A364">
        <v>17</v>
      </c>
      <c r="B364">
        <v>0</v>
      </c>
      <c r="C364">
        <v>1</v>
      </c>
      <c r="D364">
        <v>4</v>
      </c>
      <c r="E364">
        <v>4</v>
      </c>
      <c r="F364">
        <v>4</v>
      </c>
    </row>
    <row r="365" spans="1:6" x14ac:dyDescent="0.25">
      <c r="A365">
        <v>17</v>
      </c>
      <c r="B365">
        <v>1</v>
      </c>
      <c r="C365">
        <v>0</v>
      </c>
      <c r="D365">
        <v>0</v>
      </c>
      <c r="E365">
        <v>1000000</v>
      </c>
      <c r="F365">
        <v>0</v>
      </c>
    </row>
    <row r="366" spans="1:6" x14ac:dyDescent="0.25">
      <c r="A366">
        <v>17</v>
      </c>
      <c r="B366">
        <v>2</v>
      </c>
      <c r="C366">
        <v>7</v>
      </c>
      <c r="D366">
        <v>4.7142860000000004</v>
      </c>
      <c r="E366">
        <v>2</v>
      </c>
      <c r="F366">
        <v>7</v>
      </c>
    </row>
    <row r="367" spans="1:6" x14ac:dyDescent="0.25">
      <c r="A367">
        <v>17</v>
      </c>
      <c r="B367">
        <v>3</v>
      </c>
      <c r="C367">
        <v>0</v>
      </c>
      <c r="D367">
        <v>0</v>
      </c>
      <c r="E367">
        <v>1000000</v>
      </c>
      <c r="F367">
        <v>0</v>
      </c>
    </row>
    <row r="368" spans="1:6" x14ac:dyDescent="0.25">
      <c r="A368">
        <v>17</v>
      </c>
      <c r="B368">
        <v>4</v>
      </c>
      <c r="C368">
        <v>1</v>
      </c>
      <c r="D368">
        <v>3</v>
      </c>
      <c r="E368">
        <v>3</v>
      </c>
      <c r="F368">
        <v>3</v>
      </c>
    </row>
    <row r="369" spans="1:6" x14ac:dyDescent="0.25">
      <c r="A369">
        <v>17</v>
      </c>
      <c r="B369">
        <v>5</v>
      </c>
      <c r="C369">
        <v>1</v>
      </c>
      <c r="D369">
        <v>2</v>
      </c>
      <c r="E369">
        <v>2</v>
      </c>
      <c r="F369">
        <v>2</v>
      </c>
    </row>
    <row r="370" spans="1:6" x14ac:dyDescent="0.25">
      <c r="A370">
        <v>17</v>
      </c>
      <c r="B370">
        <v>6</v>
      </c>
      <c r="C370">
        <v>2</v>
      </c>
      <c r="D370">
        <v>2</v>
      </c>
      <c r="E370">
        <v>2</v>
      </c>
      <c r="F370">
        <v>2</v>
      </c>
    </row>
    <row r="371" spans="1:6" x14ac:dyDescent="0.25">
      <c r="A371">
        <v>17</v>
      </c>
      <c r="B371">
        <v>7</v>
      </c>
      <c r="C371">
        <v>1</v>
      </c>
      <c r="D371">
        <v>2</v>
      </c>
      <c r="E371">
        <v>2</v>
      </c>
      <c r="F371">
        <v>2</v>
      </c>
    </row>
    <row r="372" spans="1:6" x14ac:dyDescent="0.25">
      <c r="A372">
        <v>17</v>
      </c>
      <c r="B372">
        <v>8</v>
      </c>
      <c r="C372">
        <v>0</v>
      </c>
      <c r="D372">
        <v>0</v>
      </c>
      <c r="E372">
        <v>1000000</v>
      </c>
      <c r="F372">
        <v>0</v>
      </c>
    </row>
    <row r="373" spans="1:6" x14ac:dyDescent="0.25">
      <c r="A373">
        <v>17</v>
      </c>
      <c r="B373">
        <v>9</v>
      </c>
      <c r="C373">
        <v>0</v>
      </c>
      <c r="D373">
        <v>0</v>
      </c>
      <c r="E373">
        <v>1000000</v>
      </c>
      <c r="F373">
        <v>0</v>
      </c>
    </row>
    <row r="374" spans="1:6" x14ac:dyDescent="0.25">
      <c r="A374">
        <v>17</v>
      </c>
      <c r="B374">
        <v>10</v>
      </c>
      <c r="C374">
        <v>3</v>
      </c>
      <c r="D374">
        <v>4.6666670000000003</v>
      </c>
      <c r="E374">
        <v>4</v>
      </c>
      <c r="F374">
        <v>5</v>
      </c>
    </row>
    <row r="375" spans="1:6" x14ac:dyDescent="0.25">
      <c r="A375">
        <v>17</v>
      </c>
      <c r="B375">
        <v>11</v>
      </c>
      <c r="C375">
        <v>0</v>
      </c>
      <c r="D375">
        <v>0</v>
      </c>
      <c r="E375">
        <v>1000000</v>
      </c>
      <c r="F375">
        <v>0</v>
      </c>
    </row>
    <row r="376" spans="1:6" x14ac:dyDescent="0.25">
      <c r="A376">
        <v>17</v>
      </c>
      <c r="B376">
        <v>12</v>
      </c>
      <c r="C376">
        <v>3</v>
      </c>
      <c r="D376">
        <v>3</v>
      </c>
      <c r="E376">
        <v>2</v>
      </c>
      <c r="F376">
        <v>5</v>
      </c>
    </row>
    <row r="377" spans="1:6" x14ac:dyDescent="0.25">
      <c r="A377">
        <v>17</v>
      </c>
      <c r="B377">
        <v>13</v>
      </c>
      <c r="C377">
        <v>1</v>
      </c>
      <c r="D377">
        <v>5</v>
      </c>
      <c r="E377">
        <v>5</v>
      </c>
      <c r="F377">
        <v>5</v>
      </c>
    </row>
    <row r="378" spans="1:6" x14ac:dyDescent="0.25">
      <c r="A378">
        <v>17</v>
      </c>
      <c r="B378">
        <v>14</v>
      </c>
      <c r="C378">
        <v>2</v>
      </c>
      <c r="D378">
        <v>2</v>
      </c>
      <c r="E378">
        <v>2</v>
      </c>
      <c r="F378">
        <v>2</v>
      </c>
    </row>
    <row r="379" spans="1:6" x14ac:dyDescent="0.25">
      <c r="A379">
        <v>17</v>
      </c>
      <c r="B379">
        <v>15</v>
      </c>
      <c r="C379">
        <v>1</v>
      </c>
      <c r="D379">
        <v>5</v>
      </c>
      <c r="E379">
        <v>5</v>
      </c>
      <c r="F379">
        <v>5</v>
      </c>
    </row>
    <row r="380" spans="1:6" x14ac:dyDescent="0.25">
      <c r="A380">
        <v>17</v>
      </c>
      <c r="B380">
        <v>16</v>
      </c>
      <c r="C380">
        <v>1</v>
      </c>
      <c r="D380">
        <v>6</v>
      </c>
      <c r="E380">
        <v>6</v>
      </c>
      <c r="F380">
        <v>6</v>
      </c>
    </row>
    <row r="381" spans="1:6" x14ac:dyDescent="0.25">
      <c r="A381">
        <v>17</v>
      </c>
      <c r="B381">
        <v>17</v>
      </c>
      <c r="C381">
        <v>5</v>
      </c>
      <c r="D381">
        <v>2.8</v>
      </c>
      <c r="E381">
        <v>2</v>
      </c>
      <c r="F381">
        <v>4</v>
      </c>
    </row>
    <row r="382" spans="1:6" x14ac:dyDescent="0.25">
      <c r="A382">
        <v>17</v>
      </c>
      <c r="B382">
        <v>18</v>
      </c>
      <c r="C382">
        <v>4</v>
      </c>
      <c r="D382">
        <v>4</v>
      </c>
      <c r="E382">
        <v>2</v>
      </c>
      <c r="F382">
        <v>6</v>
      </c>
    </row>
    <row r="383" spans="1:6" x14ac:dyDescent="0.25">
      <c r="A383">
        <v>17</v>
      </c>
      <c r="B383">
        <v>19</v>
      </c>
      <c r="C383">
        <v>1</v>
      </c>
      <c r="D383">
        <v>3</v>
      </c>
      <c r="E383">
        <v>3</v>
      </c>
      <c r="F383">
        <v>3</v>
      </c>
    </row>
    <row r="384" spans="1:6" x14ac:dyDescent="0.25">
      <c r="A384">
        <v>17</v>
      </c>
      <c r="B384">
        <v>20</v>
      </c>
      <c r="C384">
        <v>4</v>
      </c>
      <c r="D384">
        <v>3.5</v>
      </c>
      <c r="E384">
        <v>2</v>
      </c>
      <c r="F384">
        <v>4</v>
      </c>
    </row>
    <row r="385" spans="1:6" x14ac:dyDescent="0.25">
      <c r="A385">
        <v>17</v>
      </c>
      <c r="B385">
        <v>21</v>
      </c>
      <c r="C385">
        <v>0</v>
      </c>
      <c r="D385">
        <v>0</v>
      </c>
      <c r="E385">
        <v>1000000</v>
      </c>
      <c r="F385">
        <v>0</v>
      </c>
    </row>
    <row r="386" spans="1:6" x14ac:dyDescent="0.25">
      <c r="A386">
        <v>17</v>
      </c>
      <c r="B386">
        <v>22</v>
      </c>
      <c r="C386">
        <v>3</v>
      </c>
      <c r="D386">
        <v>3.3333330000000001</v>
      </c>
      <c r="E386">
        <v>3</v>
      </c>
      <c r="F386">
        <v>4</v>
      </c>
    </row>
    <row r="387" spans="1:6" x14ac:dyDescent="0.25">
      <c r="A387">
        <v>17</v>
      </c>
      <c r="B387">
        <v>23</v>
      </c>
      <c r="C387">
        <v>0</v>
      </c>
      <c r="D387">
        <v>0</v>
      </c>
      <c r="E387">
        <v>1000000</v>
      </c>
      <c r="F387">
        <v>0</v>
      </c>
    </row>
    <row r="388" spans="1:6" x14ac:dyDescent="0.25">
      <c r="A388">
        <v>17</v>
      </c>
      <c r="B388">
        <v>24</v>
      </c>
      <c r="C388">
        <v>2</v>
      </c>
      <c r="D388">
        <v>3</v>
      </c>
      <c r="E388">
        <v>2</v>
      </c>
      <c r="F388">
        <v>4</v>
      </c>
    </row>
    <row r="389" spans="1:6" x14ac:dyDescent="0.25">
      <c r="A389">
        <v>17</v>
      </c>
      <c r="B389">
        <v>25</v>
      </c>
      <c r="C389">
        <v>0</v>
      </c>
      <c r="D389">
        <v>0</v>
      </c>
      <c r="E389">
        <v>1000000</v>
      </c>
      <c r="F389">
        <v>0</v>
      </c>
    </row>
    <row r="390" spans="1:6" x14ac:dyDescent="0.25">
      <c r="A390">
        <v>17</v>
      </c>
      <c r="B390">
        <v>26</v>
      </c>
      <c r="C390">
        <v>2</v>
      </c>
      <c r="D390">
        <v>3.5</v>
      </c>
      <c r="E390">
        <v>2</v>
      </c>
      <c r="F390">
        <v>5</v>
      </c>
    </row>
    <row r="391" spans="1:6" x14ac:dyDescent="0.25">
      <c r="A391">
        <v>17</v>
      </c>
      <c r="B391">
        <v>27</v>
      </c>
      <c r="C391">
        <v>2</v>
      </c>
      <c r="D391">
        <v>3</v>
      </c>
      <c r="E391">
        <v>2</v>
      </c>
      <c r="F391">
        <v>4</v>
      </c>
    </row>
    <row r="392" spans="1:6" x14ac:dyDescent="0.25">
      <c r="A392">
        <v>17</v>
      </c>
      <c r="B392">
        <v>28</v>
      </c>
      <c r="C392">
        <v>4</v>
      </c>
      <c r="D392">
        <v>4</v>
      </c>
      <c r="E392">
        <v>2</v>
      </c>
      <c r="F392">
        <v>6</v>
      </c>
    </row>
    <row r="393" spans="1:6" x14ac:dyDescent="0.25">
      <c r="A393">
        <v>17</v>
      </c>
      <c r="B393">
        <v>29</v>
      </c>
      <c r="C393">
        <v>2</v>
      </c>
      <c r="D393">
        <v>3</v>
      </c>
      <c r="E393">
        <v>3</v>
      </c>
      <c r="F393">
        <v>3</v>
      </c>
    </row>
    <row r="394" spans="1:6" x14ac:dyDescent="0.25">
      <c r="A394">
        <v>18</v>
      </c>
      <c r="B394">
        <v>0</v>
      </c>
      <c r="C394">
        <v>2</v>
      </c>
      <c r="D394">
        <v>3.5</v>
      </c>
      <c r="E394">
        <v>2</v>
      </c>
      <c r="F394">
        <v>5</v>
      </c>
    </row>
    <row r="395" spans="1:6" x14ac:dyDescent="0.25">
      <c r="A395">
        <v>18</v>
      </c>
      <c r="B395">
        <v>1</v>
      </c>
      <c r="C395">
        <v>16</v>
      </c>
      <c r="D395">
        <v>4.125</v>
      </c>
      <c r="E395">
        <v>2</v>
      </c>
      <c r="F395">
        <v>7</v>
      </c>
    </row>
    <row r="396" spans="1:6" x14ac:dyDescent="0.25">
      <c r="A396">
        <v>18</v>
      </c>
      <c r="B396">
        <v>2</v>
      </c>
      <c r="C396">
        <v>1</v>
      </c>
      <c r="D396">
        <v>5</v>
      </c>
      <c r="E396">
        <v>5</v>
      </c>
      <c r="F396">
        <v>5</v>
      </c>
    </row>
    <row r="397" spans="1:6" x14ac:dyDescent="0.25">
      <c r="A397">
        <v>18</v>
      </c>
      <c r="B397">
        <v>3</v>
      </c>
      <c r="C397">
        <v>3</v>
      </c>
      <c r="D397">
        <v>4</v>
      </c>
      <c r="E397">
        <v>3</v>
      </c>
      <c r="F397">
        <v>5</v>
      </c>
    </row>
    <row r="398" spans="1:6" x14ac:dyDescent="0.25">
      <c r="A398">
        <v>18</v>
      </c>
      <c r="B398">
        <v>4</v>
      </c>
      <c r="C398">
        <v>1</v>
      </c>
      <c r="D398">
        <v>3</v>
      </c>
      <c r="E398">
        <v>3</v>
      </c>
      <c r="F398">
        <v>3</v>
      </c>
    </row>
    <row r="399" spans="1:6" x14ac:dyDescent="0.25">
      <c r="A399">
        <v>18</v>
      </c>
      <c r="B399">
        <v>5</v>
      </c>
      <c r="C399">
        <v>3</v>
      </c>
      <c r="D399">
        <v>3.3333330000000001</v>
      </c>
      <c r="E399">
        <v>2</v>
      </c>
      <c r="F399">
        <v>4</v>
      </c>
    </row>
    <row r="400" spans="1:6" x14ac:dyDescent="0.25">
      <c r="A400">
        <v>18</v>
      </c>
      <c r="B400">
        <v>6</v>
      </c>
      <c r="C400">
        <v>1</v>
      </c>
      <c r="D400">
        <v>4</v>
      </c>
      <c r="E400">
        <v>4</v>
      </c>
      <c r="F400">
        <v>4</v>
      </c>
    </row>
    <row r="401" spans="1:6" x14ac:dyDescent="0.25">
      <c r="A401">
        <v>18</v>
      </c>
      <c r="B401">
        <v>7</v>
      </c>
      <c r="C401">
        <v>3</v>
      </c>
      <c r="D401">
        <v>4.6666670000000003</v>
      </c>
      <c r="E401">
        <v>3</v>
      </c>
      <c r="F401">
        <v>6</v>
      </c>
    </row>
    <row r="402" spans="1:6" x14ac:dyDescent="0.25">
      <c r="A402">
        <v>18</v>
      </c>
      <c r="B402">
        <v>8</v>
      </c>
      <c r="C402">
        <v>4</v>
      </c>
      <c r="D402">
        <v>3.5</v>
      </c>
      <c r="E402">
        <v>2</v>
      </c>
      <c r="F402">
        <v>5</v>
      </c>
    </row>
    <row r="403" spans="1:6" x14ac:dyDescent="0.25">
      <c r="A403">
        <v>18</v>
      </c>
      <c r="B403">
        <v>9</v>
      </c>
      <c r="C403">
        <v>0</v>
      </c>
      <c r="D403">
        <v>0</v>
      </c>
      <c r="E403">
        <v>1000000</v>
      </c>
      <c r="F403">
        <v>0</v>
      </c>
    </row>
    <row r="404" spans="1:6" x14ac:dyDescent="0.25">
      <c r="A404">
        <v>18</v>
      </c>
      <c r="B404">
        <v>10</v>
      </c>
      <c r="C404">
        <v>2</v>
      </c>
      <c r="D404">
        <v>2.5</v>
      </c>
      <c r="E404">
        <v>2</v>
      </c>
      <c r="F404">
        <v>3</v>
      </c>
    </row>
    <row r="405" spans="1:6" x14ac:dyDescent="0.25">
      <c r="A405">
        <v>18</v>
      </c>
      <c r="B405">
        <v>11</v>
      </c>
      <c r="C405">
        <v>0</v>
      </c>
      <c r="D405">
        <v>0</v>
      </c>
      <c r="E405">
        <v>1000000</v>
      </c>
      <c r="F405">
        <v>0</v>
      </c>
    </row>
    <row r="406" spans="1:6" x14ac:dyDescent="0.25">
      <c r="A406">
        <v>18</v>
      </c>
      <c r="B406">
        <v>12</v>
      </c>
      <c r="C406">
        <v>1</v>
      </c>
      <c r="D406">
        <v>4</v>
      </c>
      <c r="E406">
        <v>4</v>
      </c>
      <c r="F406">
        <v>4</v>
      </c>
    </row>
    <row r="407" spans="1:6" x14ac:dyDescent="0.25">
      <c r="A407">
        <v>18</v>
      </c>
      <c r="B407">
        <v>13</v>
      </c>
      <c r="C407">
        <v>0</v>
      </c>
      <c r="D407">
        <v>0</v>
      </c>
      <c r="E407">
        <v>1000000</v>
      </c>
      <c r="F407">
        <v>0</v>
      </c>
    </row>
    <row r="408" spans="1:6" x14ac:dyDescent="0.25">
      <c r="A408">
        <v>18</v>
      </c>
      <c r="B408">
        <v>14</v>
      </c>
      <c r="C408">
        <v>6</v>
      </c>
      <c r="D408">
        <v>5.1666670000000003</v>
      </c>
      <c r="E408">
        <v>2</v>
      </c>
      <c r="F408">
        <v>7</v>
      </c>
    </row>
    <row r="409" spans="1:6" x14ac:dyDescent="0.25">
      <c r="A409">
        <v>18</v>
      </c>
      <c r="B409">
        <v>15</v>
      </c>
      <c r="C409">
        <v>2</v>
      </c>
      <c r="D409">
        <v>4</v>
      </c>
      <c r="E409">
        <v>3</v>
      </c>
      <c r="F409">
        <v>5</v>
      </c>
    </row>
    <row r="410" spans="1:6" x14ac:dyDescent="0.25">
      <c r="A410">
        <v>18</v>
      </c>
      <c r="B410">
        <v>16</v>
      </c>
      <c r="C410">
        <v>0</v>
      </c>
      <c r="D410">
        <v>0</v>
      </c>
      <c r="E410">
        <v>1000000</v>
      </c>
      <c r="F410">
        <v>0</v>
      </c>
    </row>
    <row r="411" spans="1:6" x14ac:dyDescent="0.25">
      <c r="A411">
        <v>18</v>
      </c>
      <c r="B411">
        <v>17</v>
      </c>
      <c r="C411">
        <v>3</v>
      </c>
      <c r="D411">
        <v>4.6666670000000003</v>
      </c>
      <c r="E411">
        <v>4</v>
      </c>
      <c r="F411">
        <v>5</v>
      </c>
    </row>
    <row r="412" spans="1:6" x14ac:dyDescent="0.25">
      <c r="A412">
        <v>18</v>
      </c>
      <c r="B412">
        <v>18</v>
      </c>
      <c r="C412">
        <v>0</v>
      </c>
      <c r="D412">
        <v>0</v>
      </c>
      <c r="E412">
        <v>1000000</v>
      </c>
      <c r="F412">
        <v>0</v>
      </c>
    </row>
    <row r="413" spans="1:6" x14ac:dyDescent="0.25">
      <c r="A413">
        <v>18</v>
      </c>
      <c r="B413">
        <v>19</v>
      </c>
      <c r="C413">
        <v>2</v>
      </c>
      <c r="D413">
        <v>3.5</v>
      </c>
      <c r="E413">
        <v>3</v>
      </c>
      <c r="F413">
        <v>4</v>
      </c>
    </row>
    <row r="414" spans="1:6" x14ac:dyDescent="0.25">
      <c r="A414">
        <v>18</v>
      </c>
      <c r="B414">
        <v>20</v>
      </c>
      <c r="C414">
        <v>1</v>
      </c>
      <c r="D414">
        <v>4</v>
      </c>
      <c r="E414">
        <v>4</v>
      </c>
      <c r="F414">
        <v>4</v>
      </c>
    </row>
    <row r="415" spans="1:6" x14ac:dyDescent="0.25">
      <c r="A415">
        <v>18</v>
      </c>
      <c r="B415">
        <v>21</v>
      </c>
      <c r="C415">
        <v>6</v>
      </c>
      <c r="D415">
        <v>4.3333329999999997</v>
      </c>
      <c r="E415">
        <v>3</v>
      </c>
      <c r="F415">
        <v>5</v>
      </c>
    </row>
    <row r="416" spans="1:6" x14ac:dyDescent="0.25">
      <c r="A416">
        <v>18</v>
      </c>
      <c r="B416">
        <v>22</v>
      </c>
      <c r="C416">
        <v>1</v>
      </c>
      <c r="D416">
        <v>6</v>
      </c>
      <c r="E416">
        <v>6</v>
      </c>
      <c r="F416">
        <v>6</v>
      </c>
    </row>
    <row r="417" spans="1:6" x14ac:dyDescent="0.25">
      <c r="A417">
        <v>18</v>
      </c>
      <c r="B417">
        <v>23</v>
      </c>
      <c r="C417">
        <v>3</v>
      </c>
      <c r="D417">
        <v>4.6666670000000003</v>
      </c>
      <c r="E417">
        <v>4</v>
      </c>
      <c r="F417">
        <v>6</v>
      </c>
    </row>
    <row r="418" spans="1:6" x14ac:dyDescent="0.25">
      <c r="A418">
        <v>18</v>
      </c>
      <c r="B418">
        <v>24</v>
      </c>
      <c r="C418">
        <v>3</v>
      </c>
      <c r="D418">
        <v>4</v>
      </c>
      <c r="E418">
        <v>3</v>
      </c>
      <c r="F418">
        <v>5</v>
      </c>
    </row>
    <row r="419" spans="1:6" x14ac:dyDescent="0.25">
      <c r="A419">
        <v>18</v>
      </c>
      <c r="B419">
        <v>25</v>
      </c>
      <c r="C419">
        <v>2</v>
      </c>
      <c r="D419">
        <v>2</v>
      </c>
      <c r="E419">
        <v>2</v>
      </c>
      <c r="F419">
        <v>2</v>
      </c>
    </row>
    <row r="420" spans="1:6" x14ac:dyDescent="0.25">
      <c r="A420">
        <v>18</v>
      </c>
      <c r="B420">
        <v>26</v>
      </c>
      <c r="C420">
        <v>1</v>
      </c>
      <c r="D420">
        <v>5</v>
      </c>
      <c r="E420">
        <v>5</v>
      </c>
      <c r="F420">
        <v>5</v>
      </c>
    </row>
    <row r="421" spans="1:6" x14ac:dyDescent="0.25">
      <c r="A421">
        <v>18</v>
      </c>
      <c r="B421">
        <v>27</v>
      </c>
      <c r="C421">
        <v>1</v>
      </c>
      <c r="D421">
        <v>4</v>
      </c>
      <c r="E421">
        <v>4</v>
      </c>
      <c r="F421">
        <v>4</v>
      </c>
    </row>
    <row r="422" spans="1:6" x14ac:dyDescent="0.25">
      <c r="A422">
        <v>18</v>
      </c>
      <c r="B422">
        <v>28</v>
      </c>
      <c r="C422">
        <v>10</v>
      </c>
      <c r="D422">
        <v>3.2</v>
      </c>
      <c r="E422">
        <v>2</v>
      </c>
      <c r="F422">
        <v>5</v>
      </c>
    </row>
    <row r="423" spans="1:6" x14ac:dyDescent="0.25">
      <c r="A423">
        <v>18</v>
      </c>
      <c r="B423">
        <v>29</v>
      </c>
      <c r="C423">
        <v>5</v>
      </c>
      <c r="D423">
        <v>2</v>
      </c>
      <c r="E423">
        <v>2</v>
      </c>
      <c r="F423">
        <v>2</v>
      </c>
    </row>
    <row r="424" spans="1:6" x14ac:dyDescent="0.25">
      <c r="A424">
        <v>19</v>
      </c>
      <c r="B424">
        <v>0</v>
      </c>
      <c r="C424">
        <v>7</v>
      </c>
      <c r="D424">
        <v>3.714286</v>
      </c>
      <c r="E424">
        <v>2</v>
      </c>
      <c r="F424">
        <v>5</v>
      </c>
    </row>
    <row r="425" spans="1:6" x14ac:dyDescent="0.25">
      <c r="A425">
        <v>19</v>
      </c>
      <c r="B425">
        <v>1</v>
      </c>
      <c r="C425">
        <v>3</v>
      </c>
      <c r="D425">
        <v>2.6666669999999999</v>
      </c>
      <c r="E425">
        <v>2</v>
      </c>
      <c r="F425">
        <v>3</v>
      </c>
    </row>
    <row r="426" spans="1:6" x14ac:dyDescent="0.25">
      <c r="A426">
        <v>19</v>
      </c>
      <c r="B426">
        <v>2</v>
      </c>
      <c r="C426">
        <v>4</v>
      </c>
      <c r="D426">
        <v>2.5</v>
      </c>
      <c r="E426">
        <v>2</v>
      </c>
      <c r="F426">
        <v>3</v>
      </c>
    </row>
    <row r="427" spans="1:6" x14ac:dyDescent="0.25">
      <c r="A427">
        <v>19</v>
      </c>
      <c r="B427">
        <v>3</v>
      </c>
      <c r="C427">
        <v>2</v>
      </c>
      <c r="D427">
        <v>3.5</v>
      </c>
      <c r="E427">
        <v>2</v>
      </c>
      <c r="F427">
        <v>5</v>
      </c>
    </row>
    <row r="428" spans="1:6" x14ac:dyDescent="0.25">
      <c r="A428">
        <v>19</v>
      </c>
      <c r="B428">
        <v>4</v>
      </c>
      <c r="C428">
        <v>1</v>
      </c>
      <c r="D428">
        <v>4</v>
      </c>
      <c r="E428">
        <v>4</v>
      </c>
      <c r="F428">
        <v>4</v>
      </c>
    </row>
    <row r="429" spans="1:6" x14ac:dyDescent="0.25">
      <c r="A429">
        <v>19</v>
      </c>
      <c r="B429">
        <v>5</v>
      </c>
      <c r="C429">
        <v>6</v>
      </c>
      <c r="D429">
        <v>5.6666670000000003</v>
      </c>
      <c r="E429">
        <v>2</v>
      </c>
      <c r="F429">
        <v>9</v>
      </c>
    </row>
    <row r="430" spans="1:6" x14ac:dyDescent="0.25">
      <c r="A430">
        <v>19</v>
      </c>
      <c r="B430">
        <v>6</v>
      </c>
      <c r="C430">
        <v>1</v>
      </c>
      <c r="D430">
        <v>5</v>
      </c>
      <c r="E430">
        <v>5</v>
      </c>
      <c r="F430">
        <v>5</v>
      </c>
    </row>
    <row r="431" spans="1:6" x14ac:dyDescent="0.25">
      <c r="A431">
        <v>19</v>
      </c>
      <c r="B431">
        <v>7</v>
      </c>
      <c r="C431">
        <v>5</v>
      </c>
      <c r="D431">
        <v>3.4</v>
      </c>
      <c r="E431">
        <v>2</v>
      </c>
      <c r="F431">
        <v>5</v>
      </c>
    </row>
    <row r="432" spans="1:6" x14ac:dyDescent="0.25">
      <c r="A432">
        <v>19</v>
      </c>
      <c r="B432">
        <v>8</v>
      </c>
      <c r="C432">
        <v>4</v>
      </c>
      <c r="D432">
        <v>4.5</v>
      </c>
      <c r="E432">
        <v>2</v>
      </c>
      <c r="F432">
        <v>7</v>
      </c>
    </row>
    <row r="433" spans="1:6" x14ac:dyDescent="0.25">
      <c r="A433">
        <v>19</v>
      </c>
      <c r="B433">
        <v>9</v>
      </c>
      <c r="C433">
        <v>0</v>
      </c>
      <c r="D433">
        <v>0</v>
      </c>
      <c r="E433">
        <v>1000000</v>
      </c>
      <c r="F433">
        <v>0</v>
      </c>
    </row>
    <row r="434" spans="1:6" x14ac:dyDescent="0.25">
      <c r="A434">
        <v>19</v>
      </c>
      <c r="B434">
        <v>10</v>
      </c>
      <c r="C434">
        <v>6</v>
      </c>
      <c r="D434">
        <v>6</v>
      </c>
      <c r="E434">
        <v>3</v>
      </c>
      <c r="F434">
        <v>9</v>
      </c>
    </row>
    <row r="435" spans="1:6" x14ac:dyDescent="0.25">
      <c r="A435">
        <v>19</v>
      </c>
      <c r="B435">
        <v>11</v>
      </c>
      <c r="C435">
        <v>3</v>
      </c>
      <c r="D435">
        <v>2.3333330000000001</v>
      </c>
      <c r="E435">
        <v>2</v>
      </c>
      <c r="F435">
        <v>3</v>
      </c>
    </row>
    <row r="436" spans="1:6" x14ac:dyDescent="0.25">
      <c r="A436">
        <v>19</v>
      </c>
      <c r="B436">
        <v>12</v>
      </c>
      <c r="C436">
        <v>1</v>
      </c>
      <c r="D436">
        <v>3</v>
      </c>
      <c r="E436">
        <v>3</v>
      </c>
      <c r="F436">
        <v>3</v>
      </c>
    </row>
    <row r="437" spans="1:6" x14ac:dyDescent="0.25">
      <c r="A437">
        <v>19</v>
      </c>
      <c r="B437">
        <v>13</v>
      </c>
      <c r="C437">
        <v>1</v>
      </c>
      <c r="D437">
        <v>2</v>
      </c>
      <c r="E437">
        <v>2</v>
      </c>
      <c r="F437">
        <v>2</v>
      </c>
    </row>
    <row r="438" spans="1:6" x14ac:dyDescent="0.25">
      <c r="A438">
        <v>19</v>
      </c>
      <c r="B438">
        <v>14</v>
      </c>
      <c r="C438">
        <v>1</v>
      </c>
      <c r="D438">
        <v>3</v>
      </c>
      <c r="E438">
        <v>3</v>
      </c>
      <c r="F438">
        <v>3</v>
      </c>
    </row>
    <row r="439" spans="1:6" x14ac:dyDescent="0.25">
      <c r="A439">
        <v>19</v>
      </c>
      <c r="B439">
        <v>15</v>
      </c>
      <c r="C439">
        <v>1</v>
      </c>
      <c r="D439">
        <v>2</v>
      </c>
      <c r="E439">
        <v>2</v>
      </c>
      <c r="F439">
        <v>2</v>
      </c>
    </row>
    <row r="440" spans="1:6" x14ac:dyDescent="0.25">
      <c r="A440">
        <v>19</v>
      </c>
      <c r="B440">
        <v>16</v>
      </c>
      <c r="C440">
        <v>2</v>
      </c>
      <c r="D440">
        <v>2.5</v>
      </c>
      <c r="E440">
        <v>2</v>
      </c>
      <c r="F440">
        <v>3</v>
      </c>
    </row>
    <row r="441" spans="1:6" x14ac:dyDescent="0.25">
      <c r="A441">
        <v>19</v>
      </c>
      <c r="B441">
        <v>17</v>
      </c>
      <c r="C441">
        <v>1</v>
      </c>
      <c r="D441">
        <v>5</v>
      </c>
      <c r="E441">
        <v>5</v>
      </c>
      <c r="F441">
        <v>5</v>
      </c>
    </row>
    <row r="442" spans="1:6" x14ac:dyDescent="0.25">
      <c r="A442">
        <v>19</v>
      </c>
      <c r="B442">
        <v>18</v>
      </c>
      <c r="C442">
        <v>12</v>
      </c>
      <c r="D442">
        <v>6.75</v>
      </c>
      <c r="E442">
        <v>3</v>
      </c>
      <c r="F442">
        <v>10</v>
      </c>
    </row>
    <row r="443" spans="1:6" x14ac:dyDescent="0.25">
      <c r="A443">
        <v>19</v>
      </c>
      <c r="B443">
        <v>19</v>
      </c>
      <c r="C443">
        <v>1</v>
      </c>
      <c r="D443">
        <v>4</v>
      </c>
      <c r="E443">
        <v>4</v>
      </c>
      <c r="F443">
        <v>4</v>
      </c>
    </row>
    <row r="444" spans="1:6" x14ac:dyDescent="0.25">
      <c r="A444">
        <v>19</v>
      </c>
      <c r="B444">
        <v>20</v>
      </c>
      <c r="C444">
        <v>3</v>
      </c>
      <c r="D444">
        <v>3.3333330000000001</v>
      </c>
      <c r="E444">
        <v>2</v>
      </c>
      <c r="F444">
        <v>4</v>
      </c>
    </row>
    <row r="445" spans="1:6" x14ac:dyDescent="0.25">
      <c r="A445">
        <v>19</v>
      </c>
      <c r="B445">
        <v>21</v>
      </c>
      <c r="C445">
        <v>6</v>
      </c>
      <c r="D445">
        <v>2.3333330000000001</v>
      </c>
      <c r="E445">
        <v>2</v>
      </c>
      <c r="F445">
        <v>3</v>
      </c>
    </row>
    <row r="446" spans="1:6" x14ac:dyDescent="0.25">
      <c r="A446">
        <v>19</v>
      </c>
      <c r="B446">
        <v>22</v>
      </c>
      <c r="C446">
        <v>3</v>
      </c>
      <c r="D446">
        <v>4.6666670000000003</v>
      </c>
      <c r="E446">
        <v>3</v>
      </c>
      <c r="F446">
        <v>6</v>
      </c>
    </row>
    <row r="447" spans="1:6" x14ac:dyDescent="0.25">
      <c r="A447">
        <v>19</v>
      </c>
      <c r="B447">
        <v>23</v>
      </c>
      <c r="C447">
        <v>1</v>
      </c>
      <c r="D447">
        <v>3</v>
      </c>
      <c r="E447">
        <v>3</v>
      </c>
      <c r="F447">
        <v>3</v>
      </c>
    </row>
    <row r="448" spans="1:6" x14ac:dyDescent="0.25">
      <c r="A448">
        <v>19</v>
      </c>
      <c r="B448">
        <v>24</v>
      </c>
      <c r="C448">
        <v>0</v>
      </c>
      <c r="D448">
        <v>0</v>
      </c>
      <c r="E448">
        <v>1000000</v>
      </c>
      <c r="F448">
        <v>0</v>
      </c>
    </row>
    <row r="449" spans="1:6" x14ac:dyDescent="0.25">
      <c r="A449">
        <v>19</v>
      </c>
      <c r="B449">
        <v>25</v>
      </c>
      <c r="C449">
        <v>4</v>
      </c>
      <c r="D449">
        <v>4.5</v>
      </c>
      <c r="E449">
        <v>2</v>
      </c>
      <c r="F449">
        <v>7</v>
      </c>
    </row>
    <row r="450" spans="1:6" x14ac:dyDescent="0.25">
      <c r="A450">
        <v>19</v>
      </c>
      <c r="B450">
        <v>26</v>
      </c>
      <c r="C450">
        <v>7</v>
      </c>
      <c r="D450">
        <v>4.1428570000000002</v>
      </c>
      <c r="E450">
        <v>2</v>
      </c>
      <c r="F450">
        <v>6</v>
      </c>
    </row>
    <row r="451" spans="1:6" x14ac:dyDescent="0.25">
      <c r="A451">
        <v>19</v>
      </c>
      <c r="B451">
        <v>27</v>
      </c>
      <c r="C451">
        <v>4</v>
      </c>
      <c r="D451">
        <v>5</v>
      </c>
      <c r="E451">
        <v>2</v>
      </c>
      <c r="F451">
        <v>8</v>
      </c>
    </row>
    <row r="452" spans="1:6" x14ac:dyDescent="0.25">
      <c r="A452">
        <v>19</v>
      </c>
      <c r="B452">
        <v>28</v>
      </c>
      <c r="C452">
        <v>7</v>
      </c>
      <c r="D452">
        <v>3.5714290000000002</v>
      </c>
      <c r="E452">
        <v>2</v>
      </c>
      <c r="F452">
        <v>6</v>
      </c>
    </row>
    <row r="453" spans="1:6" x14ac:dyDescent="0.25">
      <c r="A453">
        <v>19</v>
      </c>
      <c r="B453">
        <v>29</v>
      </c>
      <c r="C453">
        <v>2</v>
      </c>
      <c r="D453">
        <v>2.5</v>
      </c>
      <c r="E453">
        <v>2</v>
      </c>
      <c r="F453">
        <v>3</v>
      </c>
    </row>
    <row r="454" spans="1:6" x14ac:dyDescent="0.25">
      <c r="A454">
        <v>20</v>
      </c>
      <c r="B454">
        <v>0</v>
      </c>
      <c r="C454">
        <v>10</v>
      </c>
      <c r="D454">
        <v>6.2</v>
      </c>
      <c r="E454">
        <v>3</v>
      </c>
      <c r="F454">
        <v>10</v>
      </c>
    </row>
    <row r="455" spans="1:6" x14ac:dyDescent="0.25">
      <c r="A455">
        <v>20</v>
      </c>
      <c r="B455">
        <v>1</v>
      </c>
      <c r="C455">
        <v>3</v>
      </c>
      <c r="D455">
        <v>2.3333330000000001</v>
      </c>
      <c r="E455">
        <v>2</v>
      </c>
      <c r="F455">
        <v>3</v>
      </c>
    </row>
    <row r="456" spans="1:6" x14ac:dyDescent="0.25">
      <c r="A456">
        <v>20</v>
      </c>
      <c r="B456">
        <v>2</v>
      </c>
      <c r="C456">
        <v>4</v>
      </c>
      <c r="D456">
        <v>3.25</v>
      </c>
      <c r="E456">
        <v>2</v>
      </c>
      <c r="F456">
        <v>4</v>
      </c>
    </row>
    <row r="457" spans="1:6" x14ac:dyDescent="0.25">
      <c r="A457">
        <v>20</v>
      </c>
      <c r="B457">
        <v>3</v>
      </c>
      <c r="C457">
        <v>4</v>
      </c>
      <c r="D457">
        <v>3.75</v>
      </c>
      <c r="E457">
        <v>2</v>
      </c>
      <c r="F457">
        <v>5</v>
      </c>
    </row>
    <row r="458" spans="1:6" x14ac:dyDescent="0.25">
      <c r="A458">
        <v>20</v>
      </c>
      <c r="B458">
        <v>4</v>
      </c>
      <c r="C458">
        <v>4</v>
      </c>
      <c r="D458">
        <v>4</v>
      </c>
      <c r="E458">
        <v>2</v>
      </c>
      <c r="F458">
        <v>6</v>
      </c>
    </row>
    <row r="459" spans="1:6" x14ac:dyDescent="0.25">
      <c r="A459">
        <v>20</v>
      </c>
      <c r="B459">
        <v>5</v>
      </c>
      <c r="C459">
        <v>4</v>
      </c>
      <c r="D459">
        <v>2.25</v>
      </c>
      <c r="E459">
        <v>2</v>
      </c>
      <c r="F459">
        <v>3</v>
      </c>
    </row>
    <row r="460" spans="1:6" x14ac:dyDescent="0.25">
      <c r="A460">
        <v>20</v>
      </c>
      <c r="B460">
        <v>6</v>
      </c>
      <c r="C460">
        <v>16</v>
      </c>
      <c r="D460">
        <v>4.125</v>
      </c>
      <c r="E460">
        <v>2</v>
      </c>
      <c r="F460">
        <v>6</v>
      </c>
    </row>
    <row r="461" spans="1:6" x14ac:dyDescent="0.25">
      <c r="A461">
        <v>20</v>
      </c>
      <c r="B461">
        <v>7</v>
      </c>
      <c r="C461">
        <v>1</v>
      </c>
      <c r="D461">
        <v>4</v>
      </c>
      <c r="E461">
        <v>4</v>
      </c>
      <c r="F461">
        <v>4</v>
      </c>
    </row>
    <row r="462" spans="1:6" x14ac:dyDescent="0.25">
      <c r="A462">
        <v>20</v>
      </c>
      <c r="B462">
        <v>8</v>
      </c>
      <c r="C462">
        <v>10</v>
      </c>
      <c r="D462">
        <v>5.8</v>
      </c>
      <c r="E462">
        <v>3</v>
      </c>
      <c r="F462">
        <v>10</v>
      </c>
    </row>
    <row r="463" spans="1:6" x14ac:dyDescent="0.25">
      <c r="A463">
        <v>20</v>
      </c>
      <c r="B463">
        <v>9</v>
      </c>
      <c r="C463">
        <v>7</v>
      </c>
      <c r="D463">
        <v>4.4285709999999998</v>
      </c>
      <c r="E463">
        <v>2</v>
      </c>
      <c r="F463">
        <v>7</v>
      </c>
    </row>
    <row r="464" spans="1:6" x14ac:dyDescent="0.25">
      <c r="A464">
        <v>20</v>
      </c>
      <c r="B464">
        <v>10</v>
      </c>
      <c r="C464">
        <v>4</v>
      </c>
      <c r="D464">
        <v>4</v>
      </c>
      <c r="E464">
        <v>2</v>
      </c>
      <c r="F464">
        <v>6</v>
      </c>
    </row>
    <row r="465" spans="1:6" x14ac:dyDescent="0.25">
      <c r="A465">
        <v>20</v>
      </c>
      <c r="B465">
        <v>11</v>
      </c>
      <c r="C465">
        <v>1</v>
      </c>
      <c r="D465">
        <v>2</v>
      </c>
      <c r="E465">
        <v>2</v>
      </c>
      <c r="F465">
        <v>2</v>
      </c>
    </row>
    <row r="466" spans="1:6" x14ac:dyDescent="0.25">
      <c r="A466">
        <v>20</v>
      </c>
      <c r="B466">
        <v>12</v>
      </c>
      <c r="C466">
        <v>6</v>
      </c>
      <c r="D466">
        <v>6.1666670000000003</v>
      </c>
      <c r="E466">
        <v>3</v>
      </c>
      <c r="F466">
        <v>8</v>
      </c>
    </row>
    <row r="467" spans="1:6" x14ac:dyDescent="0.25">
      <c r="A467">
        <v>20</v>
      </c>
      <c r="B467">
        <v>13</v>
      </c>
      <c r="C467">
        <v>4</v>
      </c>
      <c r="D467">
        <v>2.5</v>
      </c>
      <c r="E467">
        <v>2</v>
      </c>
      <c r="F467">
        <v>4</v>
      </c>
    </row>
    <row r="468" spans="1:6" x14ac:dyDescent="0.25">
      <c r="A468">
        <v>20</v>
      </c>
      <c r="B468">
        <v>14</v>
      </c>
      <c r="C468">
        <v>4</v>
      </c>
      <c r="D468">
        <v>3</v>
      </c>
      <c r="E468">
        <v>2</v>
      </c>
      <c r="F468">
        <v>4</v>
      </c>
    </row>
    <row r="469" spans="1:6" x14ac:dyDescent="0.25">
      <c r="A469">
        <v>20</v>
      </c>
      <c r="B469">
        <v>15</v>
      </c>
      <c r="C469">
        <v>1</v>
      </c>
      <c r="D469">
        <v>2</v>
      </c>
      <c r="E469">
        <v>2</v>
      </c>
      <c r="F469">
        <v>2</v>
      </c>
    </row>
    <row r="470" spans="1:6" x14ac:dyDescent="0.25">
      <c r="A470">
        <v>20</v>
      </c>
      <c r="B470">
        <v>16</v>
      </c>
      <c r="C470">
        <v>7</v>
      </c>
      <c r="D470">
        <v>5.2857139999999996</v>
      </c>
      <c r="E470">
        <v>2</v>
      </c>
      <c r="F470">
        <v>8</v>
      </c>
    </row>
    <row r="471" spans="1:6" x14ac:dyDescent="0.25">
      <c r="A471">
        <v>20</v>
      </c>
      <c r="B471">
        <v>17</v>
      </c>
      <c r="C471">
        <v>3</v>
      </c>
      <c r="D471">
        <v>6.6666670000000003</v>
      </c>
      <c r="E471">
        <v>5</v>
      </c>
      <c r="F471">
        <v>9</v>
      </c>
    </row>
    <row r="472" spans="1:6" x14ac:dyDescent="0.25">
      <c r="A472">
        <v>20</v>
      </c>
      <c r="B472">
        <v>18</v>
      </c>
      <c r="C472">
        <v>2</v>
      </c>
      <c r="D472">
        <v>3.5</v>
      </c>
      <c r="E472">
        <v>2</v>
      </c>
      <c r="F472">
        <v>5</v>
      </c>
    </row>
    <row r="473" spans="1:6" x14ac:dyDescent="0.25">
      <c r="A473">
        <v>20</v>
      </c>
      <c r="B473">
        <v>19</v>
      </c>
      <c r="C473">
        <v>2</v>
      </c>
      <c r="D473">
        <v>2</v>
      </c>
      <c r="E473">
        <v>2</v>
      </c>
      <c r="F473">
        <v>2</v>
      </c>
    </row>
    <row r="474" spans="1:6" x14ac:dyDescent="0.25">
      <c r="A474">
        <v>20</v>
      </c>
      <c r="B474">
        <v>20</v>
      </c>
      <c r="C474">
        <v>3</v>
      </c>
      <c r="D474">
        <v>2.6666669999999999</v>
      </c>
      <c r="E474">
        <v>2</v>
      </c>
      <c r="F474">
        <v>3</v>
      </c>
    </row>
    <row r="475" spans="1:6" x14ac:dyDescent="0.25">
      <c r="A475">
        <v>20</v>
      </c>
      <c r="B475">
        <v>21</v>
      </c>
      <c r="C475">
        <v>3</v>
      </c>
      <c r="D475">
        <v>3</v>
      </c>
      <c r="E475">
        <v>2</v>
      </c>
      <c r="F475">
        <v>5</v>
      </c>
    </row>
    <row r="476" spans="1:6" x14ac:dyDescent="0.25">
      <c r="A476">
        <v>20</v>
      </c>
      <c r="B476">
        <v>22</v>
      </c>
      <c r="C476">
        <v>1</v>
      </c>
      <c r="D476">
        <v>2</v>
      </c>
      <c r="E476">
        <v>2</v>
      </c>
      <c r="F476">
        <v>2</v>
      </c>
    </row>
    <row r="477" spans="1:6" x14ac:dyDescent="0.25">
      <c r="A477">
        <v>20</v>
      </c>
      <c r="B477">
        <v>23</v>
      </c>
      <c r="C477">
        <v>10</v>
      </c>
      <c r="D477">
        <v>5.4</v>
      </c>
      <c r="E477">
        <v>2</v>
      </c>
      <c r="F477">
        <v>8</v>
      </c>
    </row>
    <row r="478" spans="1:6" x14ac:dyDescent="0.25">
      <c r="A478">
        <v>20</v>
      </c>
      <c r="B478">
        <v>24</v>
      </c>
      <c r="C478">
        <v>2</v>
      </c>
      <c r="D478">
        <v>2.5</v>
      </c>
      <c r="E478">
        <v>2</v>
      </c>
      <c r="F478">
        <v>3</v>
      </c>
    </row>
    <row r="479" spans="1:6" x14ac:dyDescent="0.25">
      <c r="A479">
        <v>20</v>
      </c>
      <c r="B479">
        <v>25</v>
      </c>
      <c r="C479">
        <v>7</v>
      </c>
      <c r="D479">
        <v>5.7142860000000004</v>
      </c>
      <c r="E479">
        <v>3</v>
      </c>
      <c r="F479">
        <v>8</v>
      </c>
    </row>
    <row r="480" spans="1:6" x14ac:dyDescent="0.25">
      <c r="A480">
        <v>20</v>
      </c>
      <c r="B480">
        <v>26</v>
      </c>
      <c r="C480">
        <v>7</v>
      </c>
      <c r="D480">
        <v>2.714286</v>
      </c>
      <c r="E480">
        <v>2</v>
      </c>
      <c r="F480">
        <v>4</v>
      </c>
    </row>
    <row r="481" spans="1:6" x14ac:dyDescent="0.25">
      <c r="A481">
        <v>20</v>
      </c>
      <c r="B481">
        <v>27</v>
      </c>
      <c r="C481">
        <v>2</v>
      </c>
      <c r="D481">
        <v>2.5</v>
      </c>
      <c r="E481">
        <v>2</v>
      </c>
      <c r="F481">
        <v>3</v>
      </c>
    </row>
    <row r="482" spans="1:6" x14ac:dyDescent="0.25">
      <c r="A482">
        <v>20</v>
      </c>
      <c r="B482">
        <v>28</v>
      </c>
      <c r="C482">
        <v>0</v>
      </c>
      <c r="D482">
        <v>0</v>
      </c>
      <c r="E482">
        <v>1000000</v>
      </c>
      <c r="F482">
        <v>0</v>
      </c>
    </row>
    <row r="483" spans="1:6" x14ac:dyDescent="0.25">
      <c r="A483">
        <v>20</v>
      </c>
      <c r="B483">
        <v>29</v>
      </c>
      <c r="C483">
        <v>4</v>
      </c>
      <c r="D483">
        <v>6</v>
      </c>
      <c r="E483">
        <v>2</v>
      </c>
      <c r="F483">
        <v>10</v>
      </c>
    </row>
    <row r="484" spans="1:6" x14ac:dyDescent="0.25">
      <c r="A484">
        <v>21</v>
      </c>
      <c r="B484">
        <v>0</v>
      </c>
      <c r="C484">
        <v>7</v>
      </c>
      <c r="D484">
        <v>4</v>
      </c>
      <c r="E484">
        <v>3</v>
      </c>
      <c r="F484">
        <v>6</v>
      </c>
    </row>
    <row r="485" spans="1:6" x14ac:dyDescent="0.25">
      <c r="A485">
        <v>21</v>
      </c>
      <c r="B485">
        <v>1</v>
      </c>
      <c r="C485">
        <v>2</v>
      </c>
      <c r="D485">
        <v>2</v>
      </c>
      <c r="E485">
        <v>2</v>
      </c>
      <c r="F485">
        <v>2</v>
      </c>
    </row>
    <row r="486" spans="1:6" x14ac:dyDescent="0.25">
      <c r="A486">
        <v>21</v>
      </c>
      <c r="B486">
        <v>2</v>
      </c>
      <c r="C486">
        <v>2</v>
      </c>
      <c r="D486">
        <v>4.5</v>
      </c>
      <c r="E486">
        <v>2</v>
      </c>
      <c r="F486">
        <v>7</v>
      </c>
    </row>
    <row r="487" spans="1:6" x14ac:dyDescent="0.25">
      <c r="A487">
        <v>21</v>
      </c>
      <c r="B487">
        <v>3</v>
      </c>
      <c r="C487">
        <v>3</v>
      </c>
      <c r="D487">
        <v>6</v>
      </c>
      <c r="E487">
        <v>4</v>
      </c>
      <c r="F487">
        <v>8</v>
      </c>
    </row>
    <row r="488" spans="1:6" x14ac:dyDescent="0.25">
      <c r="A488">
        <v>21</v>
      </c>
      <c r="B488">
        <v>4</v>
      </c>
      <c r="C488">
        <v>3</v>
      </c>
      <c r="D488">
        <v>5.3333329999999997</v>
      </c>
      <c r="E488">
        <v>5</v>
      </c>
      <c r="F488">
        <v>6</v>
      </c>
    </row>
    <row r="489" spans="1:6" x14ac:dyDescent="0.25">
      <c r="A489">
        <v>21</v>
      </c>
      <c r="B489">
        <v>5</v>
      </c>
      <c r="C489">
        <v>4</v>
      </c>
      <c r="D489">
        <v>6.5</v>
      </c>
      <c r="E489">
        <v>2</v>
      </c>
      <c r="F489">
        <v>10</v>
      </c>
    </row>
    <row r="490" spans="1:6" x14ac:dyDescent="0.25">
      <c r="A490">
        <v>21</v>
      </c>
      <c r="B490">
        <v>6</v>
      </c>
      <c r="C490">
        <v>11</v>
      </c>
      <c r="D490">
        <v>7.2727269999999997</v>
      </c>
      <c r="E490">
        <v>2</v>
      </c>
      <c r="F490">
        <v>12</v>
      </c>
    </row>
    <row r="491" spans="1:6" x14ac:dyDescent="0.25">
      <c r="A491">
        <v>21</v>
      </c>
      <c r="B491">
        <v>7</v>
      </c>
      <c r="C491">
        <v>4</v>
      </c>
      <c r="D491">
        <v>2.25</v>
      </c>
      <c r="E491">
        <v>2</v>
      </c>
      <c r="F491">
        <v>3</v>
      </c>
    </row>
    <row r="492" spans="1:6" x14ac:dyDescent="0.25">
      <c r="A492">
        <v>21</v>
      </c>
      <c r="B492">
        <v>8</v>
      </c>
      <c r="C492">
        <v>6</v>
      </c>
      <c r="D492">
        <v>4.6666670000000003</v>
      </c>
      <c r="E492">
        <v>3</v>
      </c>
      <c r="F492">
        <v>7</v>
      </c>
    </row>
    <row r="493" spans="1:6" x14ac:dyDescent="0.25">
      <c r="A493">
        <v>21</v>
      </c>
      <c r="B493">
        <v>9</v>
      </c>
      <c r="C493">
        <v>23</v>
      </c>
      <c r="D493">
        <v>7.7826089999999999</v>
      </c>
      <c r="E493">
        <v>4</v>
      </c>
      <c r="F493">
        <v>12</v>
      </c>
    </row>
    <row r="494" spans="1:6" x14ac:dyDescent="0.25">
      <c r="A494">
        <v>21</v>
      </c>
      <c r="B494">
        <v>10</v>
      </c>
      <c r="C494">
        <v>0</v>
      </c>
      <c r="D494">
        <v>0</v>
      </c>
      <c r="E494">
        <v>1000000</v>
      </c>
      <c r="F494">
        <v>0</v>
      </c>
    </row>
    <row r="495" spans="1:6" x14ac:dyDescent="0.25">
      <c r="A495">
        <v>21</v>
      </c>
      <c r="B495">
        <v>11</v>
      </c>
      <c r="C495">
        <v>12</v>
      </c>
      <c r="D495">
        <v>4.9166670000000003</v>
      </c>
      <c r="E495">
        <v>3</v>
      </c>
      <c r="F495">
        <v>7</v>
      </c>
    </row>
    <row r="496" spans="1:6" x14ac:dyDescent="0.25">
      <c r="A496">
        <v>21</v>
      </c>
      <c r="B496">
        <v>12</v>
      </c>
      <c r="C496">
        <v>9</v>
      </c>
      <c r="D496">
        <v>4</v>
      </c>
      <c r="E496">
        <v>2</v>
      </c>
      <c r="F496">
        <v>6</v>
      </c>
    </row>
    <row r="497" spans="1:6" x14ac:dyDescent="0.25">
      <c r="A497">
        <v>21</v>
      </c>
      <c r="B497">
        <v>13</v>
      </c>
      <c r="C497">
        <v>7</v>
      </c>
      <c r="D497">
        <v>3.4285709999999998</v>
      </c>
      <c r="E497">
        <v>2</v>
      </c>
      <c r="F497">
        <v>4</v>
      </c>
    </row>
    <row r="498" spans="1:6" x14ac:dyDescent="0.25">
      <c r="A498">
        <v>21</v>
      </c>
      <c r="B498">
        <v>14</v>
      </c>
      <c r="C498">
        <v>2</v>
      </c>
      <c r="D498">
        <v>3</v>
      </c>
      <c r="E498">
        <v>2</v>
      </c>
      <c r="F498">
        <v>4</v>
      </c>
    </row>
    <row r="499" spans="1:6" x14ac:dyDescent="0.25">
      <c r="A499">
        <v>21</v>
      </c>
      <c r="B499">
        <v>15</v>
      </c>
      <c r="C499">
        <v>7</v>
      </c>
      <c r="D499">
        <v>5.4285709999999998</v>
      </c>
      <c r="E499">
        <v>2</v>
      </c>
      <c r="F499">
        <v>7</v>
      </c>
    </row>
    <row r="500" spans="1:6" x14ac:dyDescent="0.25">
      <c r="A500">
        <v>21</v>
      </c>
      <c r="B500">
        <v>16</v>
      </c>
      <c r="C500">
        <v>4</v>
      </c>
      <c r="D500">
        <v>4.25</v>
      </c>
      <c r="E500">
        <v>3</v>
      </c>
      <c r="F500">
        <v>6</v>
      </c>
    </row>
    <row r="501" spans="1:6" x14ac:dyDescent="0.25">
      <c r="A501">
        <v>21</v>
      </c>
      <c r="B501">
        <v>17</v>
      </c>
      <c r="C501">
        <v>4</v>
      </c>
      <c r="D501">
        <v>2.5</v>
      </c>
      <c r="E501">
        <v>2</v>
      </c>
      <c r="F501">
        <v>3</v>
      </c>
    </row>
    <row r="502" spans="1:6" x14ac:dyDescent="0.25">
      <c r="A502">
        <v>21</v>
      </c>
      <c r="B502">
        <v>18</v>
      </c>
      <c r="C502">
        <v>4</v>
      </c>
      <c r="D502">
        <v>2.25</v>
      </c>
      <c r="E502">
        <v>2</v>
      </c>
      <c r="F502">
        <v>3</v>
      </c>
    </row>
    <row r="503" spans="1:6" x14ac:dyDescent="0.25">
      <c r="A503">
        <v>21</v>
      </c>
      <c r="B503">
        <v>19</v>
      </c>
      <c r="C503">
        <v>2</v>
      </c>
      <c r="D503">
        <v>4.5</v>
      </c>
      <c r="E503">
        <v>3</v>
      </c>
      <c r="F503">
        <v>6</v>
      </c>
    </row>
    <row r="504" spans="1:6" x14ac:dyDescent="0.25">
      <c r="A504">
        <v>21</v>
      </c>
      <c r="B504">
        <v>20</v>
      </c>
      <c r="C504">
        <v>12</v>
      </c>
      <c r="D504">
        <v>7.6666670000000003</v>
      </c>
      <c r="E504">
        <v>4</v>
      </c>
      <c r="F504">
        <v>12</v>
      </c>
    </row>
    <row r="505" spans="1:6" x14ac:dyDescent="0.25">
      <c r="A505">
        <v>21</v>
      </c>
      <c r="B505">
        <v>21</v>
      </c>
      <c r="C505">
        <v>2</v>
      </c>
      <c r="D505">
        <v>2</v>
      </c>
      <c r="E505">
        <v>2</v>
      </c>
      <c r="F505">
        <v>2</v>
      </c>
    </row>
    <row r="506" spans="1:6" x14ac:dyDescent="0.25">
      <c r="A506">
        <v>21</v>
      </c>
      <c r="B506">
        <v>22</v>
      </c>
      <c r="C506">
        <v>6</v>
      </c>
      <c r="D506">
        <v>5.3333329999999997</v>
      </c>
      <c r="E506">
        <v>2</v>
      </c>
      <c r="F506">
        <v>7</v>
      </c>
    </row>
    <row r="507" spans="1:6" x14ac:dyDescent="0.25">
      <c r="A507">
        <v>21</v>
      </c>
      <c r="B507">
        <v>23</v>
      </c>
      <c r="C507">
        <v>7</v>
      </c>
      <c r="D507">
        <v>3.285714</v>
      </c>
      <c r="E507">
        <v>2</v>
      </c>
      <c r="F507">
        <v>5</v>
      </c>
    </row>
    <row r="508" spans="1:6" x14ac:dyDescent="0.25">
      <c r="A508">
        <v>21</v>
      </c>
      <c r="B508">
        <v>24</v>
      </c>
      <c r="C508">
        <v>4</v>
      </c>
      <c r="D508">
        <v>4</v>
      </c>
      <c r="E508">
        <v>2</v>
      </c>
      <c r="F508">
        <v>5</v>
      </c>
    </row>
    <row r="509" spans="1:6" x14ac:dyDescent="0.25">
      <c r="A509">
        <v>21</v>
      </c>
      <c r="B509">
        <v>25</v>
      </c>
      <c r="C509">
        <v>1</v>
      </c>
      <c r="D509">
        <v>5</v>
      </c>
      <c r="E509">
        <v>5</v>
      </c>
      <c r="F509">
        <v>5</v>
      </c>
    </row>
    <row r="510" spans="1:6" x14ac:dyDescent="0.25">
      <c r="A510">
        <v>21</v>
      </c>
      <c r="B510">
        <v>26</v>
      </c>
      <c r="C510">
        <v>1</v>
      </c>
      <c r="D510">
        <v>3</v>
      </c>
      <c r="E510">
        <v>3</v>
      </c>
      <c r="F510">
        <v>3</v>
      </c>
    </row>
    <row r="511" spans="1:6" x14ac:dyDescent="0.25">
      <c r="A511">
        <v>21</v>
      </c>
      <c r="B511">
        <v>27</v>
      </c>
      <c r="C511">
        <v>6</v>
      </c>
      <c r="D511">
        <v>6.5</v>
      </c>
      <c r="E511">
        <v>3</v>
      </c>
      <c r="F511">
        <v>10</v>
      </c>
    </row>
    <row r="512" spans="1:6" x14ac:dyDescent="0.25">
      <c r="A512">
        <v>21</v>
      </c>
      <c r="B512">
        <v>28</v>
      </c>
      <c r="C512">
        <v>12</v>
      </c>
      <c r="D512">
        <v>8.25</v>
      </c>
      <c r="E512">
        <v>3</v>
      </c>
      <c r="F512">
        <v>12</v>
      </c>
    </row>
    <row r="513" spans="1:6" x14ac:dyDescent="0.25">
      <c r="A513">
        <v>21</v>
      </c>
      <c r="B513">
        <v>29</v>
      </c>
      <c r="C513">
        <v>0</v>
      </c>
      <c r="D513">
        <v>0</v>
      </c>
      <c r="E513">
        <v>1000000</v>
      </c>
      <c r="F513">
        <v>0</v>
      </c>
    </row>
    <row r="514" spans="1:6" x14ac:dyDescent="0.25">
      <c r="A514">
        <v>22</v>
      </c>
      <c r="B514">
        <v>0</v>
      </c>
      <c r="C514">
        <v>15</v>
      </c>
      <c r="D514">
        <v>6.266667</v>
      </c>
      <c r="E514">
        <v>2</v>
      </c>
      <c r="F514">
        <v>10</v>
      </c>
    </row>
    <row r="515" spans="1:6" x14ac:dyDescent="0.25">
      <c r="A515">
        <v>22</v>
      </c>
      <c r="B515">
        <v>1</v>
      </c>
      <c r="C515">
        <v>5</v>
      </c>
      <c r="D515">
        <v>3.4</v>
      </c>
      <c r="E515">
        <v>2</v>
      </c>
      <c r="F515">
        <v>5</v>
      </c>
    </row>
    <row r="516" spans="1:6" x14ac:dyDescent="0.25">
      <c r="A516">
        <v>22</v>
      </c>
      <c r="B516">
        <v>2</v>
      </c>
      <c r="C516">
        <v>4</v>
      </c>
      <c r="D516">
        <v>5</v>
      </c>
      <c r="E516">
        <v>2</v>
      </c>
      <c r="F516">
        <v>7</v>
      </c>
    </row>
    <row r="517" spans="1:6" x14ac:dyDescent="0.25">
      <c r="A517">
        <v>22</v>
      </c>
      <c r="B517">
        <v>3</v>
      </c>
      <c r="C517">
        <v>3</v>
      </c>
      <c r="D517">
        <v>5.3333329999999997</v>
      </c>
      <c r="E517">
        <v>3</v>
      </c>
      <c r="F517">
        <v>7</v>
      </c>
    </row>
    <row r="518" spans="1:6" x14ac:dyDescent="0.25">
      <c r="A518">
        <v>22</v>
      </c>
      <c r="B518">
        <v>4</v>
      </c>
      <c r="C518">
        <v>7</v>
      </c>
      <c r="D518">
        <v>4.5714290000000002</v>
      </c>
      <c r="E518">
        <v>3</v>
      </c>
      <c r="F518">
        <v>7</v>
      </c>
    </row>
    <row r="519" spans="1:6" x14ac:dyDescent="0.25">
      <c r="A519">
        <v>22</v>
      </c>
      <c r="B519">
        <v>5</v>
      </c>
      <c r="C519">
        <v>10</v>
      </c>
      <c r="D519">
        <v>5.8</v>
      </c>
      <c r="E519">
        <v>3</v>
      </c>
      <c r="F519">
        <v>10</v>
      </c>
    </row>
    <row r="520" spans="1:6" x14ac:dyDescent="0.25">
      <c r="A520">
        <v>22</v>
      </c>
      <c r="B520">
        <v>6</v>
      </c>
      <c r="C520">
        <v>4</v>
      </c>
      <c r="D520">
        <v>4</v>
      </c>
      <c r="E520">
        <v>2</v>
      </c>
      <c r="F520">
        <v>6</v>
      </c>
    </row>
    <row r="521" spans="1:6" x14ac:dyDescent="0.25">
      <c r="A521">
        <v>22</v>
      </c>
      <c r="B521">
        <v>7</v>
      </c>
      <c r="C521">
        <v>2</v>
      </c>
      <c r="D521">
        <v>2</v>
      </c>
      <c r="E521">
        <v>2</v>
      </c>
      <c r="F521">
        <v>2</v>
      </c>
    </row>
    <row r="522" spans="1:6" x14ac:dyDescent="0.25">
      <c r="A522">
        <v>22</v>
      </c>
      <c r="B522">
        <v>8</v>
      </c>
      <c r="C522">
        <v>22</v>
      </c>
      <c r="D522">
        <v>7.5454549999999996</v>
      </c>
      <c r="E522">
        <v>2</v>
      </c>
      <c r="F522">
        <v>11</v>
      </c>
    </row>
    <row r="523" spans="1:6" x14ac:dyDescent="0.25">
      <c r="A523">
        <v>22</v>
      </c>
      <c r="B523">
        <v>9</v>
      </c>
      <c r="C523">
        <v>6</v>
      </c>
      <c r="D523">
        <v>5.5</v>
      </c>
      <c r="E523">
        <v>3</v>
      </c>
      <c r="F523">
        <v>8</v>
      </c>
    </row>
    <row r="524" spans="1:6" x14ac:dyDescent="0.25">
      <c r="A524">
        <v>22</v>
      </c>
      <c r="B524">
        <v>10</v>
      </c>
      <c r="C524">
        <v>18</v>
      </c>
      <c r="D524">
        <v>4.5</v>
      </c>
      <c r="E524">
        <v>2</v>
      </c>
      <c r="F524">
        <v>6</v>
      </c>
    </row>
    <row r="525" spans="1:6" x14ac:dyDescent="0.25">
      <c r="A525">
        <v>22</v>
      </c>
      <c r="B525">
        <v>11</v>
      </c>
      <c r="C525">
        <v>27</v>
      </c>
      <c r="D525">
        <v>5.3333329999999997</v>
      </c>
      <c r="E525">
        <v>2</v>
      </c>
      <c r="F525">
        <v>7</v>
      </c>
    </row>
    <row r="526" spans="1:6" x14ac:dyDescent="0.25">
      <c r="A526">
        <v>22</v>
      </c>
      <c r="B526">
        <v>12</v>
      </c>
      <c r="C526">
        <v>3</v>
      </c>
      <c r="D526">
        <v>4</v>
      </c>
      <c r="E526">
        <v>3</v>
      </c>
      <c r="F526">
        <v>5</v>
      </c>
    </row>
    <row r="527" spans="1:6" x14ac:dyDescent="0.25">
      <c r="A527">
        <v>22</v>
      </c>
      <c r="B527">
        <v>13</v>
      </c>
      <c r="C527">
        <v>14</v>
      </c>
      <c r="D527">
        <v>5.2857139999999996</v>
      </c>
      <c r="E527">
        <v>2</v>
      </c>
      <c r="F527">
        <v>8</v>
      </c>
    </row>
    <row r="528" spans="1:6" x14ac:dyDescent="0.25">
      <c r="A528">
        <v>22</v>
      </c>
      <c r="B528">
        <v>14</v>
      </c>
      <c r="C528">
        <v>6</v>
      </c>
      <c r="D528">
        <v>7.3333329999999997</v>
      </c>
      <c r="E528">
        <v>2</v>
      </c>
      <c r="F528">
        <v>10</v>
      </c>
    </row>
    <row r="529" spans="1:6" x14ac:dyDescent="0.25">
      <c r="A529">
        <v>22</v>
      </c>
      <c r="B529">
        <v>15</v>
      </c>
      <c r="C529">
        <v>6</v>
      </c>
      <c r="D529">
        <v>3.3333330000000001</v>
      </c>
      <c r="E529">
        <v>2</v>
      </c>
      <c r="F529">
        <v>4</v>
      </c>
    </row>
    <row r="530" spans="1:6" x14ac:dyDescent="0.25">
      <c r="A530">
        <v>22</v>
      </c>
      <c r="B530">
        <v>16</v>
      </c>
      <c r="C530">
        <v>6</v>
      </c>
      <c r="D530">
        <v>2.6666669999999999</v>
      </c>
      <c r="E530">
        <v>2</v>
      </c>
      <c r="F530">
        <v>5</v>
      </c>
    </row>
    <row r="531" spans="1:6" x14ac:dyDescent="0.25">
      <c r="A531">
        <v>22</v>
      </c>
      <c r="B531">
        <v>17</v>
      </c>
      <c r="C531">
        <v>10</v>
      </c>
      <c r="D531">
        <v>5.2</v>
      </c>
      <c r="E531">
        <v>3</v>
      </c>
      <c r="F531">
        <v>8</v>
      </c>
    </row>
    <row r="532" spans="1:6" x14ac:dyDescent="0.25">
      <c r="A532">
        <v>22</v>
      </c>
      <c r="B532">
        <v>18</v>
      </c>
      <c r="C532">
        <v>2</v>
      </c>
      <c r="D532">
        <v>5</v>
      </c>
      <c r="E532">
        <v>3</v>
      </c>
      <c r="F532">
        <v>7</v>
      </c>
    </row>
    <row r="533" spans="1:6" x14ac:dyDescent="0.25">
      <c r="A533">
        <v>22</v>
      </c>
      <c r="B533">
        <v>19</v>
      </c>
      <c r="C533">
        <v>2</v>
      </c>
      <c r="D533">
        <v>3</v>
      </c>
      <c r="E533">
        <v>3</v>
      </c>
      <c r="F533">
        <v>3</v>
      </c>
    </row>
    <row r="534" spans="1:6" x14ac:dyDescent="0.25">
      <c r="A534">
        <v>22</v>
      </c>
      <c r="B534">
        <v>20</v>
      </c>
      <c r="C534">
        <v>7</v>
      </c>
      <c r="D534">
        <v>3.4285709999999998</v>
      </c>
      <c r="E534">
        <v>2</v>
      </c>
      <c r="F534">
        <v>5</v>
      </c>
    </row>
    <row r="535" spans="1:6" x14ac:dyDescent="0.25">
      <c r="A535">
        <v>22</v>
      </c>
      <c r="B535">
        <v>21</v>
      </c>
      <c r="C535">
        <v>10</v>
      </c>
      <c r="D535">
        <v>6</v>
      </c>
      <c r="E535">
        <v>3</v>
      </c>
      <c r="F535">
        <v>10</v>
      </c>
    </row>
    <row r="536" spans="1:6" x14ac:dyDescent="0.25">
      <c r="A536">
        <v>22</v>
      </c>
      <c r="B536">
        <v>22</v>
      </c>
      <c r="C536">
        <v>5</v>
      </c>
      <c r="D536">
        <v>3.6</v>
      </c>
      <c r="E536">
        <v>2</v>
      </c>
      <c r="F536">
        <v>6</v>
      </c>
    </row>
    <row r="537" spans="1:6" x14ac:dyDescent="0.25">
      <c r="A537">
        <v>22</v>
      </c>
      <c r="B537">
        <v>23</v>
      </c>
      <c r="C537">
        <v>4</v>
      </c>
      <c r="D537">
        <v>3.25</v>
      </c>
      <c r="E537">
        <v>2</v>
      </c>
      <c r="F537">
        <v>5</v>
      </c>
    </row>
    <row r="538" spans="1:6" x14ac:dyDescent="0.25">
      <c r="A538">
        <v>22</v>
      </c>
      <c r="B538">
        <v>24</v>
      </c>
      <c r="C538">
        <v>4</v>
      </c>
      <c r="D538">
        <v>6.75</v>
      </c>
      <c r="E538">
        <v>3</v>
      </c>
      <c r="F538">
        <v>9</v>
      </c>
    </row>
    <row r="539" spans="1:6" x14ac:dyDescent="0.25">
      <c r="A539">
        <v>22</v>
      </c>
      <c r="B539">
        <v>25</v>
      </c>
      <c r="C539">
        <v>15</v>
      </c>
      <c r="D539">
        <v>5.2</v>
      </c>
      <c r="E539">
        <v>3</v>
      </c>
      <c r="F539">
        <v>8</v>
      </c>
    </row>
    <row r="540" spans="1:6" x14ac:dyDescent="0.25">
      <c r="A540">
        <v>22</v>
      </c>
      <c r="B540">
        <v>26</v>
      </c>
      <c r="C540">
        <v>6</v>
      </c>
      <c r="D540">
        <v>7</v>
      </c>
      <c r="E540">
        <v>3</v>
      </c>
      <c r="F540">
        <v>9</v>
      </c>
    </row>
    <row r="541" spans="1:6" x14ac:dyDescent="0.25">
      <c r="A541">
        <v>22</v>
      </c>
      <c r="B541">
        <v>27</v>
      </c>
      <c r="C541">
        <v>13</v>
      </c>
      <c r="D541">
        <v>7.3076930000000004</v>
      </c>
      <c r="E541">
        <v>2</v>
      </c>
      <c r="F541">
        <v>12</v>
      </c>
    </row>
    <row r="542" spans="1:6" x14ac:dyDescent="0.25">
      <c r="A542">
        <v>22</v>
      </c>
      <c r="B542">
        <v>28</v>
      </c>
      <c r="C542">
        <v>17</v>
      </c>
      <c r="D542">
        <v>5.5882350000000001</v>
      </c>
      <c r="E542">
        <v>2</v>
      </c>
      <c r="F542">
        <v>9</v>
      </c>
    </row>
    <row r="543" spans="1:6" x14ac:dyDescent="0.25">
      <c r="A543">
        <v>22</v>
      </c>
      <c r="B543">
        <v>29</v>
      </c>
      <c r="C543">
        <v>4</v>
      </c>
      <c r="D543">
        <v>6.5</v>
      </c>
      <c r="E543">
        <v>2</v>
      </c>
      <c r="F543">
        <v>11</v>
      </c>
    </row>
    <row r="544" spans="1:6" x14ac:dyDescent="0.25">
      <c r="A544">
        <v>23</v>
      </c>
      <c r="B544">
        <v>0</v>
      </c>
      <c r="C544">
        <v>19</v>
      </c>
      <c r="D544">
        <v>6.6315790000000003</v>
      </c>
      <c r="E544">
        <v>2</v>
      </c>
      <c r="F544">
        <v>11</v>
      </c>
    </row>
    <row r="545" spans="1:6" x14ac:dyDescent="0.25">
      <c r="A545">
        <v>23</v>
      </c>
      <c r="B545">
        <v>1</v>
      </c>
      <c r="C545">
        <v>2</v>
      </c>
      <c r="D545">
        <v>3</v>
      </c>
      <c r="E545">
        <v>3</v>
      </c>
      <c r="F545">
        <v>3</v>
      </c>
    </row>
    <row r="546" spans="1:6" x14ac:dyDescent="0.25">
      <c r="A546">
        <v>23</v>
      </c>
      <c r="B546">
        <v>2</v>
      </c>
      <c r="C546">
        <v>5</v>
      </c>
      <c r="D546">
        <v>3.8</v>
      </c>
      <c r="E546">
        <v>2</v>
      </c>
      <c r="F546">
        <v>5</v>
      </c>
    </row>
    <row r="547" spans="1:6" x14ac:dyDescent="0.25">
      <c r="A547">
        <v>23</v>
      </c>
      <c r="B547">
        <v>3</v>
      </c>
      <c r="C547">
        <v>13</v>
      </c>
      <c r="D547">
        <v>5.6153849999999998</v>
      </c>
      <c r="E547">
        <v>2</v>
      </c>
      <c r="F547">
        <v>8</v>
      </c>
    </row>
    <row r="548" spans="1:6" x14ac:dyDescent="0.25">
      <c r="A548">
        <v>23</v>
      </c>
      <c r="B548">
        <v>4</v>
      </c>
      <c r="C548">
        <v>5</v>
      </c>
      <c r="D548">
        <v>2.4</v>
      </c>
      <c r="E548">
        <v>2</v>
      </c>
      <c r="F548">
        <v>3</v>
      </c>
    </row>
    <row r="549" spans="1:6" x14ac:dyDescent="0.25">
      <c r="A549">
        <v>23</v>
      </c>
      <c r="B549">
        <v>5</v>
      </c>
      <c r="C549">
        <v>11</v>
      </c>
      <c r="D549">
        <v>6.8181820000000002</v>
      </c>
      <c r="E549">
        <v>2</v>
      </c>
      <c r="F549">
        <v>9</v>
      </c>
    </row>
    <row r="550" spans="1:6" x14ac:dyDescent="0.25">
      <c r="A550">
        <v>23</v>
      </c>
      <c r="B550">
        <v>6</v>
      </c>
      <c r="C550">
        <v>3</v>
      </c>
      <c r="D550">
        <v>4.6666670000000003</v>
      </c>
      <c r="E550">
        <v>3</v>
      </c>
      <c r="F550">
        <v>6</v>
      </c>
    </row>
    <row r="551" spans="1:6" x14ac:dyDescent="0.25">
      <c r="A551">
        <v>23</v>
      </c>
      <c r="B551">
        <v>7</v>
      </c>
      <c r="C551">
        <v>7</v>
      </c>
      <c r="D551">
        <v>6.8571429999999998</v>
      </c>
      <c r="E551">
        <v>3</v>
      </c>
      <c r="F551">
        <v>9</v>
      </c>
    </row>
    <row r="552" spans="1:6" x14ac:dyDescent="0.25">
      <c r="A552">
        <v>23</v>
      </c>
      <c r="B552">
        <v>8</v>
      </c>
      <c r="C552">
        <v>4</v>
      </c>
      <c r="D552">
        <v>5.5</v>
      </c>
      <c r="E552">
        <v>4</v>
      </c>
      <c r="F552">
        <v>8</v>
      </c>
    </row>
    <row r="553" spans="1:6" x14ac:dyDescent="0.25">
      <c r="A553">
        <v>23</v>
      </c>
      <c r="B553">
        <v>9</v>
      </c>
      <c r="C553">
        <v>3</v>
      </c>
      <c r="D553">
        <v>2.6666669999999999</v>
      </c>
      <c r="E553">
        <v>2</v>
      </c>
      <c r="F553">
        <v>3</v>
      </c>
    </row>
    <row r="554" spans="1:6" x14ac:dyDescent="0.25">
      <c r="A554">
        <v>23</v>
      </c>
      <c r="B554">
        <v>10</v>
      </c>
      <c r="C554">
        <v>12</v>
      </c>
      <c r="D554">
        <v>3.1666669999999999</v>
      </c>
      <c r="E554">
        <v>2</v>
      </c>
      <c r="F554">
        <v>5</v>
      </c>
    </row>
    <row r="555" spans="1:6" x14ac:dyDescent="0.25">
      <c r="A555">
        <v>23</v>
      </c>
      <c r="B555">
        <v>11</v>
      </c>
      <c r="C555">
        <v>13</v>
      </c>
      <c r="D555">
        <v>5.3076930000000004</v>
      </c>
      <c r="E555">
        <v>2</v>
      </c>
      <c r="F555">
        <v>8</v>
      </c>
    </row>
    <row r="556" spans="1:6" x14ac:dyDescent="0.25">
      <c r="A556">
        <v>23</v>
      </c>
      <c r="B556">
        <v>12</v>
      </c>
      <c r="C556">
        <v>4</v>
      </c>
      <c r="D556">
        <v>5.5</v>
      </c>
      <c r="E556">
        <v>2</v>
      </c>
      <c r="F556">
        <v>8</v>
      </c>
    </row>
    <row r="557" spans="1:6" x14ac:dyDescent="0.25">
      <c r="A557">
        <v>23</v>
      </c>
      <c r="B557">
        <v>13</v>
      </c>
      <c r="C557">
        <v>16</v>
      </c>
      <c r="D557">
        <v>5.5</v>
      </c>
      <c r="E557">
        <v>2</v>
      </c>
      <c r="F557">
        <v>8</v>
      </c>
    </row>
    <row r="558" spans="1:6" x14ac:dyDescent="0.25">
      <c r="A558">
        <v>23</v>
      </c>
      <c r="B558">
        <v>14</v>
      </c>
      <c r="C558">
        <v>11</v>
      </c>
      <c r="D558">
        <v>5.7272730000000003</v>
      </c>
      <c r="E558">
        <v>2</v>
      </c>
      <c r="F558">
        <v>9</v>
      </c>
    </row>
    <row r="559" spans="1:6" x14ac:dyDescent="0.25">
      <c r="A559">
        <v>23</v>
      </c>
      <c r="B559">
        <v>15</v>
      </c>
      <c r="C559">
        <v>7</v>
      </c>
      <c r="D559">
        <v>4.2857139999999996</v>
      </c>
      <c r="E559">
        <v>2</v>
      </c>
      <c r="F559">
        <v>6</v>
      </c>
    </row>
    <row r="560" spans="1:6" x14ac:dyDescent="0.25">
      <c r="A560">
        <v>23</v>
      </c>
      <c r="B560">
        <v>16</v>
      </c>
      <c r="C560">
        <v>6</v>
      </c>
      <c r="D560">
        <v>5.8333329999999997</v>
      </c>
      <c r="E560">
        <v>4</v>
      </c>
      <c r="F560">
        <v>9</v>
      </c>
    </row>
    <row r="561" spans="1:6" x14ac:dyDescent="0.25">
      <c r="A561">
        <v>23</v>
      </c>
      <c r="B561">
        <v>17</v>
      </c>
      <c r="C561">
        <v>7</v>
      </c>
      <c r="D561">
        <v>6.8571429999999998</v>
      </c>
      <c r="E561">
        <v>2</v>
      </c>
      <c r="F561">
        <v>9</v>
      </c>
    </row>
    <row r="562" spans="1:6" x14ac:dyDescent="0.25">
      <c r="A562">
        <v>23</v>
      </c>
      <c r="B562">
        <v>18</v>
      </c>
      <c r="C562">
        <v>2</v>
      </c>
      <c r="D562">
        <v>3.5</v>
      </c>
      <c r="E562">
        <v>3</v>
      </c>
      <c r="F562">
        <v>4</v>
      </c>
    </row>
    <row r="563" spans="1:6" x14ac:dyDescent="0.25">
      <c r="A563">
        <v>23</v>
      </c>
      <c r="B563">
        <v>19</v>
      </c>
      <c r="C563">
        <v>2</v>
      </c>
      <c r="D563">
        <v>3.5</v>
      </c>
      <c r="E563">
        <v>3</v>
      </c>
      <c r="F563">
        <v>4</v>
      </c>
    </row>
    <row r="564" spans="1:6" x14ac:dyDescent="0.25">
      <c r="A564">
        <v>23</v>
      </c>
      <c r="B564">
        <v>20</v>
      </c>
      <c r="C564">
        <v>4</v>
      </c>
      <c r="D564">
        <v>4.5</v>
      </c>
      <c r="E564">
        <v>2</v>
      </c>
      <c r="F564">
        <v>7</v>
      </c>
    </row>
    <row r="565" spans="1:6" x14ac:dyDescent="0.25">
      <c r="A565">
        <v>23</v>
      </c>
      <c r="B565">
        <v>21</v>
      </c>
      <c r="C565">
        <v>4</v>
      </c>
      <c r="D565">
        <v>3.5</v>
      </c>
      <c r="E565">
        <v>2</v>
      </c>
      <c r="F565">
        <v>4</v>
      </c>
    </row>
    <row r="566" spans="1:6" x14ac:dyDescent="0.25">
      <c r="A566">
        <v>23</v>
      </c>
      <c r="B566">
        <v>22</v>
      </c>
      <c r="C566">
        <v>6</v>
      </c>
      <c r="D566">
        <v>5.1666670000000003</v>
      </c>
      <c r="E566">
        <v>3</v>
      </c>
      <c r="F566">
        <v>6</v>
      </c>
    </row>
    <row r="567" spans="1:6" x14ac:dyDescent="0.25">
      <c r="A567">
        <v>23</v>
      </c>
      <c r="B567">
        <v>23</v>
      </c>
      <c r="C567">
        <v>5</v>
      </c>
      <c r="D567">
        <v>4.2</v>
      </c>
      <c r="E567">
        <v>2</v>
      </c>
      <c r="F567">
        <v>6</v>
      </c>
    </row>
    <row r="568" spans="1:6" x14ac:dyDescent="0.25">
      <c r="A568">
        <v>23</v>
      </c>
      <c r="B568">
        <v>24</v>
      </c>
      <c r="C568">
        <v>65</v>
      </c>
      <c r="D568">
        <v>8.0615389999999998</v>
      </c>
      <c r="E568">
        <v>2</v>
      </c>
      <c r="F568">
        <v>12</v>
      </c>
    </row>
    <row r="569" spans="1:6" x14ac:dyDescent="0.25">
      <c r="A569">
        <v>23</v>
      </c>
      <c r="B569">
        <v>25</v>
      </c>
      <c r="C569">
        <v>7</v>
      </c>
      <c r="D569">
        <v>6</v>
      </c>
      <c r="E569">
        <v>2</v>
      </c>
      <c r="F569">
        <v>9</v>
      </c>
    </row>
    <row r="570" spans="1:6" x14ac:dyDescent="0.25">
      <c r="A570">
        <v>23</v>
      </c>
      <c r="B570">
        <v>26</v>
      </c>
      <c r="C570">
        <v>4</v>
      </c>
      <c r="D570">
        <v>3</v>
      </c>
      <c r="E570">
        <v>2</v>
      </c>
      <c r="F570">
        <v>4</v>
      </c>
    </row>
    <row r="571" spans="1:6" x14ac:dyDescent="0.25">
      <c r="A571">
        <v>23</v>
      </c>
      <c r="B571">
        <v>27</v>
      </c>
      <c r="C571">
        <v>33</v>
      </c>
      <c r="D571">
        <v>5.7272730000000003</v>
      </c>
      <c r="E571">
        <v>2</v>
      </c>
      <c r="F571">
        <v>8</v>
      </c>
    </row>
    <row r="572" spans="1:6" x14ac:dyDescent="0.25">
      <c r="A572">
        <v>23</v>
      </c>
      <c r="B572">
        <v>28</v>
      </c>
      <c r="C572">
        <v>4</v>
      </c>
      <c r="D572">
        <v>3.5</v>
      </c>
      <c r="E572">
        <v>2</v>
      </c>
      <c r="F572">
        <v>5</v>
      </c>
    </row>
    <row r="573" spans="1:6" x14ac:dyDescent="0.25">
      <c r="A573">
        <v>23</v>
      </c>
      <c r="B573">
        <v>29</v>
      </c>
      <c r="C573">
        <v>12</v>
      </c>
      <c r="D573">
        <v>6.5833329999999997</v>
      </c>
      <c r="E573">
        <v>2</v>
      </c>
      <c r="F573">
        <v>11</v>
      </c>
    </row>
    <row r="574" spans="1:6" x14ac:dyDescent="0.25">
      <c r="A574">
        <v>24</v>
      </c>
      <c r="B574">
        <v>0</v>
      </c>
      <c r="C574">
        <v>54</v>
      </c>
      <c r="D574">
        <v>8.5</v>
      </c>
      <c r="E574">
        <v>2</v>
      </c>
      <c r="F574">
        <v>12</v>
      </c>
    </row>
    <row r="575" spans="1:6" x14ac:dyDescent="0.25">
      <c r="A575">
        <v>24</v>
      </c>
      <c r="B575">
        <v>1</v>
      </c>
      <c r="C575">
        <v>6</v>
      </c>
      <c r="D575">
        <v>9.3333329999999997</v>
      </c>
      <c r="E575">
        <v>4</v>
      </c>
      <c r="F575">
        <v>11</v>
      </c>
    </row>
    <row r="576" spans="1:6" x14ac:dyDescent="0.25">
      <c r="A576">
        <v>24</v>
      </c>
      <c r="B576">
        <v>2</v>
      </c>
      <c r="C576">
        <v>34</v>
      </c>
      <c r="D576">
        <v>6.5294119999999998</v>
      </c>
      <c r="E576">
        <v>3</v>
      </c>
      <c r="F576">
        <v>11</v>
      </c>
    </row>
    <row r="577" spans="1:6" x14ac:dyDescent="0.25">
      <c r="A577">
        <v>24</v>
      </c>
      <c r="B577">
        <v>3</v>
      </c>
      <c r="C577">
        <v>13</v>
      </c>
      <c r="D577">
        <v>4.9230770000000001</v>
      </c>
      <c r="E577">
        <v>2</v>
      </c>
      <c r="F577">
        <v>7</v>
      </c>
    </row>
    <row r="578" spans="1:6" x14ac:dyDescent="0.25">
      <c r="A578">
        <v>24</v>
      </c>
      <c r="B578">
        <v>4</v>
      </c>
      <c r="C578">
        <v>14</v>
      </c>
      <c r="D578">
        <v>5.2857139999999996</v>
      </c>
      <c r="E578">
        <v>2</v>
      </c>
      <c r="F578">
        <v>8</v>
      </c>
    </row>
    <row r="579" spans="1:6" x14ac:dyDescent="0.25">
      <c r="A579">
        <v>24</v>
      </c>
      <c r="B579">
        <v>5</v>
      </c>
      <c r="C579">
        <v>6</v>
      </c>
      <c r="D579">
        <v>4.1666670000000003</v>
      </c>
      <c r="E579">
        <v>3</v>
      </c>
      <c r="F579">
        <v>6</v>
      </c>
    </row>
    <row r="580" spans="1:6" x14ac:dyDescent="0.25">
      <c r="A580">
        <v>24</v>
      </c>
      <c r="B580">
        <v>6</v>
      </c>
      <c r="C580">
        <v>48</v>
      </c>
      <c r="D580">
        <v>5.1666670000000003</v>
      </c>
      <c r="E580">
        <v>2</v>
      </c>
      <c r="F580">
        <v>7</v>
      </c>
    </row>
    <row r="581" spans="1:6" x14ac:dyDescent="0.25">
      <c r="A581">
        <v>24</v>
      </c>
      <c r="B581">
        <v>7</v>
      </c>
      <c r="C581">
        <v>5</v>
      </c>
      <c r="D581">
        <v>3.6</v>
      </c>
      <c r="E581">
        <v>3</v>
      </c>
      <c r="F581">
        <v>5</v>
      </c>
    </row>
    <row r="582" spans="1:6" x14ac:dyDescent="0.25">
      <c r="A582">
        <v>24</v>
      </c>
      <c r="B582">
        <v>8</v>
      </c>
      <c r="C582">
        <v>4</v>
      </c>
      <c r="D582">
        <v>4.75</v>
      </c>
      <c r="E582">
        <v>2</v>
      </c>
      <c r="F582">
        <v>7</v>
      </c>
    </row>
    <row r="583" spans="1:6" x14ac:dyDescent="0.25">
      <c r="A583">
        <v>24</v>
      </c>
      <c r="B583">
        <v>9</v>
      </c>
      <c r="C583">
        <v>12</v>
      </c>
      <c r="D583">
        <v>8.25</v>
      </c>
      <c r="E583">
        <v>3</v>
      </c>
      <c r="F583">
        <v>12</v>
      </c>
    </row>
    <row r="584" spans="1:6" x14ac:dyDescent="0.25">
      <c r="A584">
        <v>24</v>
      </c>
      <c r="B584">
        <v>10</v>
      </c>
      <c r="C584">
        <v>18</v>
      </c>
      <c r="D584">
        <v>6.8888889999999998</v>
      </c>
      <c r="E584">
        <v>2</v>
      </c>
      <c r="F584">
        <v>10</v>
      </c>
    </row>
    <row r="585" spans="1:6" x14ac:dyDescent="0.25">
      <c r="A585">
        <v>24</v>
      </c>
      <c r="B585">
        <v>11</v>
      </c>
      <c r="C585">
        <v>15</v>
      </c>
      <c r="D585">
        <v>4.5333329999999998</v>
      </c>
      <c r="E585">
        <v>2</v>
      </c>
      <c r="F585">
        <v>6</v>
      </c>
    </row>
    <row r="586" spans="1:6" x14ac:dyDescent="0.25">
      <c r="A586">
        <v>24</v>
      </c>
      <c r="B586">
        <v>12</v>
      </c>
      <c r="C586">
        <v>8</v>
      </c>
      <c r="D586">
        <v>4</v>
      </c>
      <c r="E586">
        <v>2</v>
      </c>
      <c r="F586">
        <v>6</v>
      </c>
    </row>
    <row r="587" spans="1:6" x14ac:dyDescent="0.25">
      <c r="A587">
        <v>24</v>
      </c>
      <c r="B587">
        <v>13</v>
      </c>
      <c r="C587">
        <v>55</v>
      </c>
      <c r="D587">
        <v>7.1818179999999998</v>
      </c>
      <c r="E587">
        <v>2</v>
      </c>
      <c r="F587">
        <v>12</v>
      </c>
    </row>
    <row r="588" spans="1:6" x14ac:dyDescent="0.25">
      <c r="A588">
        <v>24</v>
      </c>
      <c r="B588">
        <v>14</v>
      </c>
      <c r="C588">
        <v>52</v>
      </c>
      <c r="D588">
        <v>5.8461540000000003</v>
      </c>
      <c r="E588">
        <v>2</v>
      </c>
      <c r="F588">
        <v>9</v>
      </c>
    </row>
    <row r="589" spans="1:6" x14ac:dyDescent="0.25">
      <c r="A589">
        <v>24</v>
      </c>
      <c r="B589">
        <v>15</v>
      </c>
      <c r="C589">
        <v>10</v>
      </c>
      <c r="D589">
        <v>3.2</v>
      </c>
      <c r="E589">
        <v>2</v>
      </c>
      <c r="F589">
        <v>4</v>
      </c>
    </row>
    <row r="590" spans="1:6" x14ac:dyDescent="0.25">
      <c r="A590">
        <v>24</v>
      </c>
      <c r="B590">
        <v>16</v>
      </c>
      <c r="C590">
        <v>8</v>
      </c>
      <c r="D590">
        <v>4.625</v>
      </c>
      <c r="E590">
        <v>2</v>
      </c>
      <c r="F590">
        <v>7</v>
      </c>
    </row>
    <row r="591" spans="1:6" x14ac:dyDescent="0.25">
      <c r="A591">
        <v>24</v>
      </c>
      <c r="B591">
        <v>17</v>
      </c>
      <c r="C591">
        <v>5</v>
      </c>
      <c r="D591">
        <v>3</v>
      </c>
      <c r="E591">
        <v>2</v>
      </c>
      <c r="F591">
        <v>4</v>
      </c>
    </row>
    <row r="592" spans="1:6" x14ac:dyDescent="0.25">
      <c r="A592">
        <v>24</v>
      </c>
      <c r="B592">
        <v>18</v>
      </c>
      <c r="C592">
        <v>9</v>
      </c>
      <c r="D592">
        <v>5.2222220000000004</v>
      </c>
      <c r="E592">
        <v>2</v>
      </c>
      <c r="F592">
        <v>8</v>
      </c>
    </row>
    <row r="593" spans="1:6" x14ac:dyDescent="0.25">
      <c r="A593">
        <v>24</v>
      </c>
      <c r="B593">
        <v>19</v>
      </c>
      <c r="C593">
        <v>8</v>
      </c>
      <c r="D593">
        <v>6.5</v>
      </c>
      <c r="E593">
        <v>4</v>
      </c>
      <c r="F593">
        <v>9</v>
      </c>
    </row>
    <row r="594" spans="1:6" x14ac:dyDescent="0.25">
      <c r="A594">
        <v>24</v>
      </c>
      <c r="B594">
        <v>20</v>
      </c>
      <c r="C594">
        <v>3</v>
      </c>
      <c r="D594">
        <v>4</v>
      </c>
      <c r="E594">
        <v>2</v>
      </c>
      <c r="F594">
        <v>5</v>
      </c>
    </row>
    <row r="595" spans="1:6" x14ac:dyDescent="0.25">
      <c r="A595">
        <v>24</v>
      </c>
      <c r="B595">
        <v>21</v>
      </c>
      <c r="C595">
        <v>3</v>
      </c>
      <c r="D595">
        <v>4.6666670000000003</v>
      </c>
      <c r="E595">
        <v>3</v>
      </c>
      <c r="F595">
        <v>6</v>
      </c>
    </row>
    <row r="596" spans="1:6" x14ac:dyDescent="0.25">
      <c r="A596">
        <v>24</v>
      </c>
      <c r="B596">
        <v>22</v>
      </c>
      <c r="C596">
        <v>13</v>
      </c>
      <c r="D596">
        <v>5.1538459999999997</v>
      </c>
      <c r="E596">
        <v>2</v>
      </c>
      <c r="F596">
        <v>8</v>
      </c>
    </row>
    <row r="597" spans="1:6" x14ac:dyDescent="0.25">
      <c r="A597">
        <v>24</v>
      </c>
      <c r="B597">
        <v>23</v>
      </c>
      <c r="C597">
        <v>7</v>
      </c>
      <c r="D597">
        <v>2.8571430000000002</v>
      </c>
      <c r="E597">
        <v>2</v>
      </c>
      <c r="F597">
        <v>5</v>
      </c>
    </row>
    <row r="598" spans="1:6" x14ac:dyDescent="0.25">
      <c r="A598">
        <v>24</v>
      </c>
      <c r="B598">
        <v>24</v>
      </c>
      <c r="C598">
        <v>27</v>
      </c>
      <c r="D598">
        <v>7.2962959999999999</v>
      </c>
      <c r="E598">
        <v>2</v>
      </c>
      <c r="F598">
        <v>11</v>
      </c>
    </row>
    <row r="599" spans="1:6" x14ac:dyDescent="0.25">
      <c r="A599">
        <v>24</v>
      </c>
      <c r="B599">
        <v>25</v>
      </c>
      <c r="C599">
        <v>31</v>
      </c>
      <c r="D599">
        <v>7.2903229999999999</v>
      </c>
      <c r="E599">
        <v>2</v>
      </c>
      <c r="F599">
        <v>11</v>
      </c>
    </row>
    <row r="600" spans="1:6" x14ac:dyDescent="0.25">
      <c r="A600">
        <v>24</v>
      </c>
      <c r="B600">
        <v>26</v>
      </c>
      <c r="C600">
        <v>21</v>
      </c>
      <c r="D600">
        <v>7.3333329999999997</v>
      </c>
      <c r="E600">
        <v>2</v>
      </c>
      <c r="F600">
        <v>11</v>
      </c>
    </row>
    <row r="601" spans="1:6" x14ac:dyDescent="0.25">
      <c r="A601">
        <v>24</v>
      </c>
      <c r="B601">
        <v>27</v>
      </c>
      <c r="C601">
        <v>3</v>
      </c>
      <c r="D601">
        <v>8.6666670000000003</v>
      </c>
      <c r="E601">
        <v>4</v>
      </c>
      <c r="F601">
        <v>11</v>
      </c>
    </row>
    <row r="602" spans="1:6" x14ac:dyDescent="0.25">
      <c r="A602">
        <v>24</v>
      </c>
      <c r="B602">
        <v>28</v>
      </c>
      <c r="C602">
        <v>17</v>
      </c>
      <c r="D602">
        <v>7</v>
      </c>
      <c r="E602">
        <v>2</v>
      </c>
      <c r="F602">
        <v>10</v>
      </c>
    </row>
    <row r="603" spans="1:6" x14ac:dyDescent="0.25">
      <c r="A603">
        <v>24</v>
      </c>
      <c r="B603">
        <v>29</v>
      </c>
      <c r="C603">
        <v>12</v>
      </c>
      <c r="D603">
        <v>7.8333329999999997</v>
      </c>
      <c r="E603">
        <v>4</v>
      </c>
      <c r="F603">
        <v>11</v>
      </c>
    </row>
    <row r="604" spans="1:6" x14ac:dyDescent="0.25">
      <c r="A604">
        <v>25</v>
      </c>
      <c r="B604">
        <v>0</v>
      </c>
      <c r="C604">
        <v>9</v>
      </c>
      <c r="D604">
        <v>4.3333329999999997</v>
      </c>
      <c r="E604">
        <v>3</v>
      </c>
      <c r="F604">
        <v>6</v>
      </c>
    </row>
    <row r="605" spans="1:6" x14ac:dyDescent="0.25">
      <c r="A605">
        <v>25</v>
      </c>
      <c r="B605">
        <v>1</v>
      </c>
      <c r="C605">
        <v>28</v>
      </c>
      <c r="D605">
        <v>8.7142859999999995</v>
      </c>
      <c r="E605">
        <v>2</v>
      </c>
      <c r="F605">
        <v>13</v>
      </c>
    </row>
    <row r="606" spans="1:6" x14ac:dyDescent="0.25">
      <c r="A606">
        <v>25</v>
      </c>
      <c r="B606">
        <v>2</v>
      </c>
      <c r="C606">
        <v>6</v>
      </c>
      <c r="D606">
        <v>5</v>
      </c>
      <c r="E606">
        <v>2</v>
      </c>
      <c r="F606">
        <v>6</v>
      </c>
    </row>
    <row r="607" spans="1:6" x14ac:dyDescent="0.25">
      <c r="A607">
        <v>25</v>
      </c>
      <c r="B607">
        <v>3</v>
      </c>
      <c r="C607">
        <v>4</v>
      </c>
      <c r="D607">
        <v>2.75</v>
      </c>
      <c r="E607">
        <v>2</v>
      </c>
      <c r="F607">
        <v>5</v>
      </c>
    </row>
    <row r="608" spans="1:6" x14ac:dyDescent="0.25">
      <c r="A608">
        <v>25</v>
      </c>
      <c r="B608">
        <v>4</v>
      </c>
      <c r="C608">
        <v>10</v>
      </c>
      <c r="D608">
        <v>3.2</v>
      </c>
      <c r="E608">
        <v>2</v>
      </c>
      <c r="F608">
        <v>5</v>
      </c>
    </row>
    <row r="609" spans="1:6" x14ac:dyDescent="0.25">
      <c r="A609">
        <v>25</v>
      </c>
      <c r="B609">
        <v>5</v>
      </c>
      <c r="C609">
        <v>44</v>
      </c>
      <c r="D609">
        <v>6.4090910000000001</v>
      </c>
      <c r="E609">
        <v>2</v>
      </c>
      <c r="F609">
        <v>11</v>
      </c>
    </row>
    <row r="610" spans="1:6" x14ac:dyDescent="0.25">
      <c r="A610">
        <v>25</v>
      </c>
      <c r="B610">
        <v>6</v>
      </c>
      <c r="C610">
        <v>21</v>
      </c>
      <c r="D610">
        <v>6.0952380000000002</v>
      </c>
      <c r="E610">
        <v>2</v>
      </c>
      <c r="F610">
        <v>9</v>
      </c>
    </row>
    <row r="611" spans="1:6" x14ac:dyDescent="0.25">
      <c r="A611">
        <v>25</v>
      </c>
      <c r="B611">
        <v>7</v>
      </c>
      <c r="C611">
        <v>66</v>
      </c>
      <c r="D611">
        <v>7.030303</v>
      </c>
      <c r="E611">
        <v>2</v>
      </c>
      <c r="F611">
        <v>12</v>
      </c>
    </row>
    <row r="612" spans="1:6" x14ac:dyDescent="0.25">
      <c r="A612">
        <v>25</v>
      </c>
      <c r="B612">
        <v>8</v>
      </c>
      <c r="C612">
        <v>16</v>
      </c>
      <c r="D612">
        <v>4.0625</v>
      </c>
      <c r="E612">
        <v>3</v>
      </c>
      <c r="F612">
        <v>6</v>
      </c>
    </row>
    <row r="613" spans="1:6" x14ac:dyDescent="0.25">
      <c r="A613">
        <v>25</v>
      </c>
      <c r="B613">
        <v>9</v>
      </c>
      <c r="C613">
        <v>10</v>
      </c>
      <c r="D613">
        <v>6</v>
      </c>
      <c r="E613">
        <v>3</v>
      </c>
      <c r="F613">
        <v>8</v>
      </c>
    </row>
    <row r="614" spans="1:6" x14ac:dyDescent="0.25">
      <c r="A614">
        <v>25</v>
      </c>
      <c r="B614">
        <v>10</v>
      </c>
      <c r="C614">
        <v>10</v>
      </c>
      <c r="D614">
        <v>4.8</v>
      </c>
      <c r="E614">
        <v>2</v>
      </c>
      <c r="F614">
        <v>7</v>
      </c>
    </row>
    <row r="615" spans="1:6" x14ac:dyDescent="0.25">
      <c r="A615">
        <v>25</v>
      </c>
      <c r="B615">
        <v>11</v>
      </c>
      <c r="C615">
        <v>12</v>
      </c>
      <c r="D615">
        <v>5.3333329999999997</v>
      </c>
      <c r="E615">
        <v>2</v>
      </c>
      <c r="F615">
        <v>7</v>
      </c>
    </row>
    <row r="616" spans="1:6" x14ac:dyDescent="0.25">
      <c r="A616">
        <v>25</v>
      </c>
      <c r="B616">
        <v>12</v>
      </c>
      <c r="C616">
        <v>4</v>
      </c>
      <c r="D616">
        <v>3</v>
      </c>
      <c r="E616">
        <v>2</v>
      </c>
      <c r="F616">
        <v>4</v>
      </c>
    </row>
    <row r="617" spans="1:6" x14ac:dyDescent="0.25">
      <c r="A617">
        <v>25</v>
      </c>
      <c r="B617">
        <v>13</v>
      </c>
      <c r="C617">
        <v>4</v>
      </c>
      <c r="D617">
        <v>6</v>
      </c>
      <c r="E617">
        <v>4</v>
      </c>
      <c r="F617">
        <v>9</v>
      </c>
    </row>
    <row r="618" spans="1:6" x14ac:dyDescent="0.25">
      <c r="A618">
        <v>25</v>
      </c>
      <c r="B618">
        <v>14</v>
      </c>
      <c r="C618">
        <v>7</v>
      </c>
      <c r="D618">
        <v>6.2857139999999996</v>
      </c>
      <c r="E618">
        <v>2</v>
      </c>
      <c r="F618">
        <v>10</v>
      </c>
    </row>
    <row r="619" spans="1:6" x14ac:dyDescent="0.25">
      <c r="A619">
        <v>25</v>
      </c>
      <c r="B619">
        <v>15</v>
      </c>
      <c r="C619">
        <v>15</v>
      </c>
      <c r="D619">
        <v>7.8</v>
      </c>
      <c r="E619">
        <v>2</v>
      </c>
      <c r="F619">
        <v>13</v>
      </c>
    </row>
    <row r="620" spans="1:6" x14ac:dyDescent="0.25">
      <c r="A620">
        <v>25</v>
      </c>
      <c r="B620">
        <v>16</v>
      </c>
      <c r="C620">
        <v>30</v>
      </c>
      <c r="D620">
        <v>9.1666670000000003</v>
      </c>
      <c r="E620">
        <v>2</v>
      </c>
      <c r="F620">
        <v>12</v>
      </c>
    </row>
    <row r="621" spans="1:6" x14ac:dyDescent="0.25">
      <c r="A621">
        <v>25</v>
      </c>
      <c r="B621">
        <v>17</v>
      </c>
      <c r="C621">
        <v>38</v>
      </c>
      <c r="D621">
        <v>8.2894740000000002</v>
      </c>
      <c r="E621">
        <v>2</v>
      </c>
      <c r="F621">
        <v>12</v>
      </c>
    </row>
    <row r="622" spans="1:6" x14ac:dyDescent="0.25">
      <c r="A622">
        <v>25</v>
      </c>
      <c r="B622">
        <v>18</v>
      </c>
      <c r="C622">
        <v>21</v>
      </c>
      <c r="D622">
        <v>6.2380950000000004</v>
      </c>
      <c r="E622">
        <v>2</v>
      </c>
      <c r="F622">
        <v>9</v>
      </c>
    </row>
    <row r="623" spans="1:6" x14ac:dyDescent="0.25">
      <c r="A623">
        <v>25</v>
      </c>
      <c r="B623">
        <v>19</v>
      </c>
      <c r="C623">
        <v>39</v>
      </c>
      <c r="D623">
        <v>7.5128209999999997</v>
      </c>
      <c r="E623">
        <v>4</v>
      </c>
      <c r="F623">
        <v>10</v>
      </c>
    </row>
    <row r="624" spans="1:6" x14ac:dyDescent="0.25">
      <c r="A624">
        <v>25</v>
      </c>
      <c r="B624">
        <v>20</v>
      </c>
      <c r="C624">
        <v>32</v>
      </c>
      <c r="D624">
        <v>7.1875</v>
      </c>
      <c r="E624">
        <v>3</v>
      </c>
      <c r="F624">
        <v>11</v>
      </c>
    </row>
    <row r="625" spans="1:6" x14ac:dyDescent="0.25">
      <c r="A625">
        <v>25</v>
      </c>
      <c r="B625">
        <v>21</v>
      </c>
      <c r="C625">
        <v>7</v>
      </c>
      <c r="D625">
        <v>4.2857139999999996</v>
      </c>
      <c r="E625">
        <v>2</v>
      </c>
      <c r="F625">
        <v>8</v>
      </c>
    </row>
    <row r="626" spans="1:6" x14ac:dyDescent="0.25">
      <c r="A626">
        <v>25</v>
      </c>
      <c r="B626">
        <v>22</v>
      </c>
      <c r="C626">
        <v>19</v>
      </c>
      <c r="D626">
        <v>6.4210520000000004</v>
      </c>
      <c r="E626">
        <v>3</v>
      </c>
      <c r="F626">
        <v>10</v>
      </c>
    </row>
    <row r="627" spans="1:6" x14ac:dyDescent="0.25">
      <c r="A627">
        <v>25</v>
      </c>
      <c r="B627">
        <v>23</v>
      </c>
      <c r="C627">
        <v>10</v>
      </c>
      <c r="D627">
        <v>4.2</v>
      </c>
      <c r="E627">
        <v>2</v>
      </c>
      <c r="F627">
        <v>6</v>
      </c>
    </row>
    <row r="628" spans="1:6" x14ac:dyDescent="0.25">
      <c r="A628">
        <v>25</v>
      </c>
      <c r="B628">
        <v>24</v>
      </c>
      <c r="C628">
        <v>4</v>
      </c>
      <c r="D628">
        <v>4.75</v>
      </c>
      <c r="E628">
        <v>3</v>
      </c>
      <c r="F628">
        <v>7</v>
      </c>
    </row>
    <row r="629" spans="1:6" x14ac:dyDescent="0.25">
      <c r="A629">
        <v>25</v>
      </c>
      <c r="B629">
        <v>25</v>
      </c>
      <c r="C629">
        <v>7</v>
      </c>
      <c r="D629">
        <v>6.2857139999999996</v>
      </c>
      <c r="E629">
        <v>3</v>
      </c>
      <c r="F629">
        <v>9</v>
      </c>
    </row>
    <row r="630" spans="1:6" x14ac:dyDescent="0.25">
      <c r="A630">
        <v>25</v>
      </c>
      <c r="B630">
        <v>26</v>
      </c>
      <c r="C630">
        <v>11</v>
      </c>
      <c r="D630">
        <v>5</v>
      </c>
      <c r="E630">
        <v>2</v>
      </c>
      <c r="F630">
        <v>8</v>
      </c>
    </row>
    <row r="631" spans="1:6" x14ac:dyDescent="0.25">
      <c r="A631">
        <v>25</v>
      </c>
      <c r="B631">
        <v>27</v>
      </c>
      <c r="C631">
        <v>11</v>
      </c>
      <c r="D631">
        <v>7.0909089999999999</v>
      </c>
      <c r="E631">
        <v>3</v>
      </c>
      <c r="F631">
        <v>10</v>
      </c>
    </row>
    <row r="632" spans="1:6" x14ac:dyDescent="0.25">
      <c r="A632">
        <v>25</v>
      </c>
      <c r="B632">
        <v>28</v>
      </c>
      <c r="C632">
        <v>4</v>
      </c>
      <c r="D632">
        <v>5</v>
      </c>
      <c r="E632">
        <v>2</v>
      </c>
      <c r="F632">
        <v>8</v>
      </c>
    </row>
    <row r="633" spans="1:6" x14ac:dyDescent="0.25">
      <c r="A633">
        <v>25</v>
      </c>
      <c r="B633">
        <v>29</v>
      </c>
      <c r="C633">
        <v>19</v>
      </c>
      <c r="D633">
        <v>6.7894740000000002</v>
      </c>
      <c r="E633">
        <v>3</v>
      </c>
      <c r="F633">
        <v>9</v>
      </c>
    </row>
    <row r="634" spans="1:6" x14ac:dyDescent="0.25">
      <c r="A634">
        <v>26</v>
      </c>
      <c r="B634">
        <v>0</v>
      </c>
      <c r="C634">
        <v>8</v>
      </c>
      <c r="D634">
        <v>5.125</v>
      </c>
      <c r="E634">
        <v>2</v>
      </c>
      <c r="F634">
        <v>8</v>
      </c>
    </row>
    <row r="635" spans="1:6" x14ac:dyDescent="0.25">
      <c r="A635">
        <v>26</v>
      </c>
      <c r="B635">
        <v>1</v>
      </c>
      <c r="C635">
        <v>12</v>
      </c>
      <c r="D635">
        <v>5.3333329999999997</v>
      </c>
      <c r="E635">
        <v>2</v>
      </c>
      <c r="F635">
        <v>9</v>
      </c>
    </row>
    <row r="636" spans="1:6" x14ac:dyDescent="0.25">
      <c r="A636">
        <v>26</v>
      </c>
      <c r="B636">
        <v>2</v>
      </c>
      <c r="C636">
        <v>11</v>
      </c>
      <c r="D636">
        <v>9.3636359999999996</v>
      </c>
      <c r="E636">
        <v>2</v>
      </c>
      <c r="F636">
        <v>12</v>
      </c>
    </row>
    <row r="637" spans="1:6" x14ac:dyDescent="0.25">
      <c r="A637">
        <v>26</v>
      </c>
      <c r="B637">
        <v>3</v>
      </c>
      <c r="C637">
        <v>15</v>
      </c>
      <c r="D637">
        <v>5.8</v>
      </c>
      <c r="E637">
        <v>3</v>
      </c>
      <c r="F637">
        <v>10</v>
      </c>
    </row>
    <row r="638" spans="1:6" x14ac:dyDescent="0.25">
      <c r="A638">
        <v>26</v>
      </c>
      <c r="B638">
        <v>4</v>
      </c>
      <c r="C638">
        <v>4</v>
      </c>
      <c r="D638">
        <v>4.75</v>
      </c>
      <c r="E638">
        <v>3</v>
      </c>
      <c r="F638">
        <v>7</v>
      </c>
    </row>
    <row r="639" spans="1:6" x14ac:dyDescent="0.25">
      <c r="A639">
        <v>26</v>
      </c>
      <c r="B639">
        <v>5</v>
      </c>
      <c r="C639">
        <v>29</v>
      </c>
      <c r="D639">
        <v>7.5172410000000003</v>
      </c>
      <c r="E639">
        <v>2</v>
      </c>
      <c r="F639">
        <v>11</v>
      </c>
    </row>
    <row r="640" spans="1:6" x14ac:dyDescent="0.25">
      <c r="A640">
        <v>26</v>
      </c>
      <c r="B640">
        <v>6</v>
      </c>
      <c r="C640">
        <v>11</v>
      </c>
      <c r="D640">
        <v>5.8181820000000002</v>
      </c>
      <c r="E640">
        <v>2</v>
      </c>
      <c r="F640">
        <v>8</v>
      </c>
    </row>
    <row r="641" spans="1:6" x14ac:dyDescent="0.25">
      <c r="A641">
        <v>26</v>
      </c>
      <c r="B641">
        <v>7</v>
      </c>
      <c r="C641">
        <v>17</v>
      </c>
      <c r="D641">
        <v>6.5882350000000001</v>
      </c>
      <c r="E641">
        <v>2</v>
      </c>
      <c r="F641">
        <v>10</v>
      </c>
    </row>
    <row r="642" spans="1:6" x14ac:dyDescent="0.25">
      <c r="A642">
        <v>26</v>
      </c>
      <c r="B642">
        <v>8</v>
      </c>
      <c r="C642">
        <v>26</v>
      </c>
      <c r="D642">
        <v>8.9230769999999993</v>
      </c>
      <c r="E642">
        <v>4</v>
      </c>
      <c r="F642">
        <v>13</v>
      </c>
    </row>
    <row r="643" spans="1:6" x14ac:dyDescent="0.25">
      <c r="A643">
        <v>26</v>
      </c>
      <c r="B643">
        <v>9</v>
      </c>
      <c r="C643">
        <v>61</v>
      </c>
      <c r="D643">
        <v>7.3442619999999996</v>
      </c>
      <c r="E643">
        <v>2</v>
      </c>
      <c r="F643">
        <v>12</v>
      </c>
    </row>
    <row r="644" spans="1:6" x14ac:dyDescent="0.25">
      <c r="A644">
        <v>26</v>
      </c>
      <c r="B644">
        <v>10</v>
      </c>
      <c r="C644">
        <v>21</v>
      </c>
      <c r="D644">
        <v>9.4285720000000008</v>
      </c>
      <c r="E644">
        <v>3</v>
      </c>
      <c r="F644">
        <v>14</v>
      </c>
    </row>
    <row r="645" spans="1:6" x14ac:dyDescent="0.25">
      <c r="A645">
        <v>26</v>
      </c>
      <c r="B645">
        <v>11</v>
      </c>
      <c r="C645">
        <v>7</v>
      </c>
      <c r="D645">
        <v>4</v>
      </c>
      <c r="E645">
        <v>2</v>
      </c>
      <c r="F645">
        <v>6</v>
      </c>
    </row>
    <row r="646" spans="1:6" x14ac:dyDescent="0.25">
      <c r="A646">
        <v>26</v>
      </c>
      <c r="B646">
        <v>12</v>
      </c>
      <c r="C646">
        <v>12</v>
      </c>
      <c r="D646">
        <v>6.5</v>
      </c>
      <c r="E646">
        <v>2</v>
      </c>
      <c r="F646">
        <v>9</v>
      </c>
    </row>
    <row r="647" spans="1:6" x14ac:dyDescent="0.25">
      <c r="A647">
        <v>26</v>
      </c>
      <c r="B647">
        <v>13</v>
      </c>
      <c r="C647">
        <v>15</v>
      </c>
      <c r="D647">
        <v>7</v>
      </c>
      <c r="E647">
        <v>3</v>
      </c>
      <c r="F647">
        <v>12</v>
      </c>
    </row>
    <row r="648" spans="1:6" x14ac:dyDescent="0.25">
      <c r="A648">
        <v>26</v>
      </c>
      <c r="B648">
        <v>14</v>
      </c>
      <c r="C648">
        <v>24</v>
      </c>
      <c r="D648">
        <v>6.9166670000000003</v>
      </c>
      <c r="E648">
        <v>2</v>
      </c>
      <c r="F648">
        <v>12</v>
      </c>
    </row>
    <row r="649" spans="1:6" x14ac:dyDescent="0.25">
      <c r="A649">
        <v>26</v>
      </c>
      <c r="B649">
        <v>15</v>
      </c>
      <c r="C649">
        <v>19</v>
      </c>
      <c r="D649">
        <v>9.3684209999999997</v>
      </c>
      <c r="E649">
        <v>2</v>
      </c>
      <c r="F649">
        <v>14</v>
      </c>
    </row>
    <row r="650" spans="1:6" x14ac:dyDescent="0.25">
      <c r="A650">
        <v>26</v>
      </c>
      <c r="B650">
        <v>16</v>
      </c>
      <c r="C650">
        <v>108</v>
      </c>
      <c r="D650">
        <v>9.2037040000000001</v>
      </c>
      <c r="E650">
        <v>2</v>
      </c>
      <c r="F650">
        <v>14</v>
      </c>
    </row>
    <row r="651" spans="1:6" x14ac:dyDescent="0.25">
      <c r="A651">
        <v>26</v>
      </c>
      <c r="B651">
        <v>17</v>
      </c>
      <c r="C651">
        <v>20</v>
      </c>
      <c r="D651">
        <v>6.1</v>
      </c>
      <c r="E651">
        <v>2</v>
      </c>
      <c r="F651">
        <v>8</v>
      </c>
    </row>
    <row r="652" spans="1:6" x14ac:dyDescent="0.25">
      <c r="A652">
        <v>26</v>
      </c>
      <c r="B652">
        <v>18</v>
      </c>
      <c r="C652">
        <v>32</v>
      </c>
      <c r="D652">
        <v>6.28125</v>
      </c>
      <c r="E652">
        <v>3</v>
      </c>
      <c r="F652">
        <v>9</v>
      </c>
    </row>
    <row r="653" spans="1:6" x14ac:dyDescent="0.25">
      <c r="A653">
        <v>26</v>
      </c>
      <c r="B653">
        <v>19</v>
      </c>
      <c r="C653">
        <v>22</v>
      </c>
      <c r="D653">
        <v>6.4090910000000001</v>
      </c>
      <c r="E653">
        <v>2</v>
      </c>
      <c r="F653">
        <v>10</v>
      </c>
    </row>
    <row r="654" spans="1:6" x14ac:dyDescent="0.25">
      <c r="A654">
        <v>26</v>
      </c>
      <c r="B654">
        <v>20</v>
      </c>
      <c r="C654">
        <v>12</v>
      </c>
      <c r="D654">
        <v>8.25</v>
      </c>
      <c r="E654">
        <v>4</v>
      </c>
      <c r="F654">
        <v>13</v>
      </c>
    </row>
    <row r="655" spans="1:6" x14ac:dyDescent="0.25">
      <c r="A655">
        <v>26</v>
      </c>
      <c r="B655">
        <v>21</v>
      </c>
      <c r="C655">
        <v>31</v>
      </c>
      <c r="D655">
        <v>5.8064520000000002</v>
      </c>
      <c r="E655">
        <v>2</v>
      </c>
      <c r="F655">
        <v>10</v>
      </c>
    </row>
    <row r="656" spans="1:6" x14ac:dyDescent="0.25">
      <c r="A656">
        <v>26</v>
      </c>
      <c r="B656">
        <v>22</v>
      </c>
      <c r="C656">
        <v>43</v>
      </c>
      <c r="D656">
        <v>7.4651170000000002</v>
      </c>
      <c r="E656">
        <v>2</v>
      </c>
      <c r="F656">
        <v>11</v>
      </c>
    </row>
    <row r="657" spans="1:6" x14ac:dyDescent="0.25">
      <c r="A657">
        <v>26</v>
      </c>
      <c r="B657">
        <v>23</v>
      </c>
      <c r="C657">
        <v>18</v>
      </c>
      <c r="D657">
        <v>7.1111110000000002</v>
      </c>
      <c r="E657">
        <v>3</v>
      </c>
      <c r="F657">
        <v>10</v>
      </c>
    </row>
    <row r="658" spans="1:6" x14ac:dyDescent="0.25">
      <c r="A658">
        <v>26</v>
      </c>
      <c r="B658">
        <v>24</v>
      </c>
      <c r="C658">
        <v>44</v>
      </c>
      <c r="D658">
        <v>6.9318179999999998</v>
      </c>
      <c r="E658">
        <v>2</v>
      </c>
      <c r="F658">
        <v>10</v>
      </c>
    </row>
    <row r="659" spans="1:6" x14ac:dyDescent="0.25">
      <c r="A659">
        <v>26</v>
      </c>
      <c r="B659">
        <v>25</v>
      </c>
      <c r="C659">
        <v>23</v>
      </c>
      <c r="D659">
        <v>4.4347830000000004</v>
      </c>
      <c r="E659">
        <v>2</v>
      </c>
      <c r="F659">
        <v>8</v>
      </c>
    </row>
    <row r="660" spans="1:6" x14ac:dyDescent="0.25">
      <c r="A660">
        <v>26</v>
      </c>
      <c r="B660">
        <v>26</v>
      </c>
      <c r="C660">
        <v>45</v>
      </c>
      <c r="D660">
        <v>5.3333329999999997</v>
      </c>
      <c r="E660">
        <v>2</v>
      </c>
      <c r="F660">
        <v>9</v>
      </c>
    </row>
    <row r="661" spans="1:6" x14ac:dyDescent="0.25">
      <c r="A661">
        <v>26</v>
      </c>
      <c r="B661">
        <v>27</v>
      </c>
      <c r="C661">
        <v>7</v>
      </c>
      <c r="D661">
        <v>5.8571429999999998</v>
      </c>
      <c r="E661">
        <v>2</v>
      </c>
      <c r="F661">
        <v>10</v>
      </c>
    </row>
    <row r="662" spans="1:6" x14ac:dyDescent="0.25">
      <c r="A662">
        <v>26</v>
      </c>
      <c r="B662">
        <v>28</v>
      </c>
      <c r="C662">
        <v>25</v>
      </c>
      <c r="D662">
        <v>6.6</v>
      </c>
      <c r="E662">
        <v>2</v>
      </c>
      <c r="F662">
        <v>11</v>
      </c>
    </row>
    <row r="663" spans="1:6" x14ac:dyDescent="0.25">
      <c r="A663">
        <v>26</v>
      </c>
      <c r="B663">
        <v>29</v>
      </c>
      <c r="C663">
        <v>45</v>
      </c>
      <c r="D663">
        <v>5.9555550000000004</v>
      </c>
      <c r="E663">
        <v>2</v>
      </c>
      <c r="F663">
        <v>9</v>
      </c>
    </row>
    <row r="664" spans="1:6" x14ac:dyDescent="0.25">
      <c r="A664">
        <v>27</v>
      </c>
      <c r="B664">
        <v>0</v>
      </c>
      <c r="C664">
        <v>66</v>
      </c>
      <c r="D664">
        <v>6.7424239999999998</v>
      </c>
      <c r="E664">
        <v>2</v>
      </c>
      <c r="F664">
        <v>11</v>
      </c>
    </row>
    <row r="665" spans="1:6" x14ac:dyDescent="0.25">
      <c r="A665">
        <v>27</v>
      </c>
      <c r="B665">
        <v>1</v>
      </c>
      <c r="C665">
        <v>32</v>
      </c>
      <c r="D665">
        <v>6.4375</v>
      </c>
      <c r="E665">
        <v>3</v>
      </c>
      <c r="F665">
        <v>11</v>
      </c>
    </row>
    <row r="666" spans="1:6" x14ac:dyDescent="0.25">
      <c r="A666">
        <v>27</v>
      </c>
      <c r="B666">
        <v>2</v>
      </c>
      <c r="C666">
        <v>29</v>
      </c>
      <c r="D666">
        <v>8.4827589999999997</v>
      </c>
      <c r="E666">
        <v>2</v>
      </c>
      <c r="F666">
        <v>14</v>
      </c>
    </row>
    <row r="667" spans="1:6" x14ac:dyDescent="0.25">
      <c r="A667">
        <v>27</v>
      </c>
      <c r="B667">
        <v>3</v>
      </c>
      <c r="C667">
        <v>27</v>
      </c>
      <c r="D667">
        <v>9.0370369999999998</v>
      </c>
      <c r="E667">
        <v>2</v>
      </c>
      <c r="F667">
        <v>13</v>
      </c>
    </row>
    <row r="668" spans="1:6" x14ac:dyDescent="0.25">
      <c r="A668">
        <v>27</v>
      </c>
      <c r="B668">
        <v>4</v>
      </c>
      <c r="C668">
        <v>36</v>
      </c>
      <c r="D668">
        <v>6.1666670000000003</v>
      </c>
      <c r="E668">
        <v>3</v>
      </c>
      <c r="F668">
        <v>9</v>
      </c>
    </row>
    <row r="669" spans="1:6" x14ac:dyDescent="0.25">
      <c r="A669">
        <v>27</v>
      </c>
      <c r="B669">
        <v>5</v>
      </c>
      <c r="C669">
        <v>35</v>
      </c>
      <c r="D669">
        <v>7.5714290000000002</v>
      </c>
      <c r="E669">
        <v>3</v>
      </c>
      <c r="F669">
        <v>10</v>
      </c>
    </row>
    <row r="670" spans="1:6" x14ac:dyDescent="0.25">
      <c r="A670">
        <v>27</v>
      </c>
      <c r="B670">
        <v>6</v>
      </c>
      <c r="C670">
        <v>39</v>
      </c>
      <c r="D670">
        <v>9.7179490000000008</v>
      </c>
      <c r="E670">
        <v>2</v>
      </c>
      <c r="F670">
        <v>16</v>
      </c>
    </row>
    <row r="671" spans="1:6" x14ac:dyDescent="0.25">
      <c r="A671">
        <v>27</v>
      </c>
      <c r="B671">
        <v>7</v>
      </c>
      <c r="C671">
        <v>26</v>
      </c>
      <c r="D671">
        <v>5.961538</v>
      </c>
      <c r="E671">
        <v>2</v>
      </c>
      <c r="F671">
        <v>11</v>
      </c>
    </row>
    <row r="672" spans="1:6" x14ac:dyDescent="0.25">
      <c r="A672">
        <v>27</v>
      </c>
      <c r="B672">
        <v>8</v>
      </c>
      <c r="C672">
        <v>50</v>
      </c>
      <c r="D672">
        <v>6.98</v>
      </c>
      <c r="E672">
        <v>2</v>
      </c>
      <c r="F672">
        <v>11</v>
      </c>
    </row>
    <row r="673" spans="1:6" x14ac:dyDescent="0.25">
      <c r="A673">
        <v>27</v>
      </c>
      <c r="B673">
        <v>9</v>
      </c>
      <c r="C673">
        <v>20</v>
      </c>
      <c r="D673">
        <v>7.45</v>
      </c>
      <c r="E673">
        <v>3</v>
      </c>
      <c r="F673">
        <v>12</v>
      </c>
    </row>
    <row r="674" spans="1:6" x14ac:dyDescent="0.25">
      <c r="A674">
        <v>27</v>
      </c>
      <c r="B674">
        <v>10</v>
      </c>
      <c r="C674">
        <v>8</v>
      </c>
      <c r="D674">
        <v>5</v>
      </c>
      <c r="E674">
        <v>2</v>
      </c>
      <c r="F674">
        <v>7</v>
      </c>
    </row>
    <row r="675" spans="1:6" x14ac:dyDescent="0.25">
      <c r="A675">
        <v>27</v>
      </c>
      <c r="B675">
        <v>11</v>
      </c>
      <c r="C675">
        <v>12</v>
      </c>
      <c r="D675">
        <v>5.9166670000000003</v>
      </c>
      <c r="E675">
        <v>2</v>
      </c>
      <c r="F675">
        <v>9</v>
      </c>
    </row>
    <row r="676" spans="1:6" x14ac:dyDescent="0.25">
      <c r="A676">
        <v>27</v>
      </c>
      <c r="B676">
        <v>12</v>
      </c>
      <c r="C676">
        <v>27</v>
      </c>
      <c r="D676">
        <v>7.7407409999999999</v>
      </c>
      <c r="E676">
        <v>3</v>
      </c>
      <c r="F676">
        <v>13</v>
      </c>
    </row>
    <row r="677" spans="1:6" x14ac:dyDescent="0.25">
      <c r="A677">
        <v>27</v>
      </c>
      <c r="B677">
        <v>13</v>
      </c>
      <c r="C677">
        <v>49</v>
      </c>
      <c r="D677">
        <v>6.2653059999999998</v>
      </c>
      <c r="E677">
        <v>2</v>
      </c>
      <c r="F677">
        <v>10</v>
      </c>
    </row>
    <row r="678" spans="1:6" x14ac:dyDescent="0.25">
      <c r="A678">
        <v>27</v>
      </c>
      <c r="B678">
        <v>14</v>
      </c>
      <c r="C678">
        <v>114</v>
      </c>
      <c r="D678">
        <v>6.7280699999999998</v>
      </c>
      <c r="E678">
        <v>2</v>
      </c>
      <c r="F678">
        <v>10</v>
      </c>
    </row>
    <row r="679" spans="1:6" x14ac:dyDescent="0.25">
      <c r="A679">
        <v>27</v>
      </c>
      <c r="B679">
        <v>15</v>
      </c>
      <c r="C679">
        <v>74</v>
      </c>
      <c r="D679">
        <v>7.0135139999999998</v>
      </c>
      <c r="E679">
        <v>3</v>
      </c>
      <c r="F679">
        <v>10</v>
      </c>
    </row>
    <row r="680" spans="1:6" x14ac:dyDescent="0.25">
      <c r="A680">
        <v>27</v>
      </c>
      <c r="B680">
        <v>16</v>
      </c>
      <c r="C680">
        <v>18</v>
      </c>
      <c r="D680">
        <v>8.1111109999999993</v>
      </c>
      <c r="E680">
        <v>4</v>
      </c>
      <c r="F680">
        <v>12</v>
      </c>
    </row>
    <row r="681" spans="1:6" x14ac:dyDescent="0.25">
      <c r="A681">
        <v>27</v>
      </c>
      <c r="B681">
        <v>17</v>
      </c>
      <c r="C681">
        <v>11</v>
      </c>
      <c r="D681">
        <v>3.454545</v>
      </c>
      <c r="E681">
        <v>2</v>
      </c>
      <c r="F681">
        <v>5</v>
      </c>
    </row>
    <row r="682" spans="1:6" x14ac:dyDescent="0.25">
      <c r="A682">
        <v>27</v>
      </c>
      <c r="B682">
        <v>18</v>
      </c>
      <c r="C682">
        <v>8</v>
      </c>
      <c r="D682">
        <v>4</v>
      </c>
      <c r="E682">
        <v>2</v>
      </c>
      <c r="F682">
        <v>6</v>
      </c>
    </row>
    <row r="683" spans="1:6" x14ac:dyDescent="0.25">
      <c r="A683">
        <v>27</v>
      </c>
      <c r="B683">
        <v>19</v>
      </c>
      <c r="C683">
        <v>79</v>
      </c>
      <c r="D683">
        <v>6.8860760000000001</v>
      </c>
      <c r="E683">
        <v>2</v>
      </c>
      <c r="F683">
        <v>10</v>
      </c>
    </row>
    <row r="684" spans="1:6" x14ac:dyDescent="0.25">
      <c r="A684">
        <v>27</v>
      </c>
      <c r="B684">
        <v>20</v>
      </c>
      <c r="C684">
        <v>31</v>
      </c>
      <c r="D684">
        <v>8</v>
      </c>
      <c r="E684">
        <v>2</v>
      </c>
      <c r="F684">
        <v>12</v>
      </c>
    </row>
    <row r="685" spans="1:6" x14ac:dyDescent="0.25">
      <c r="A685">
        <v>27</v>
      </c>
      <c r="B685">
        <v>21</v>
      </c>
      <c r="C685">
        <v>42</v>
      </c>
      <c r="D685">
        <v>6.976191</v>
      </c>
      <c r="E685">
        <v>2</v>
      </c>
      <c r="F685">
        <v>10</v>
      </c>
    </row>
    <row r="686" spans="1:6" x14ac:dyDescent="0.25">
      <c r="A686">
        <v>27</v>
      </c>
      <c r="B686">
        <v>22</v>
      </c>
      <c r="C686">
        <v>62</v>
      </c>
      <c r="D686">
        <v>9.4032260000000001</v>
      </c>
      <c r="E686">
        <v>3</v>
      </c>
      <c r="F686">
        <v>15</v>
      </c>
    </row>
    <row r="687" spans="1:6" x14ac:dyDescent="0.25">
      <c r="A687">
        <v>27</v>
      </c>
      <c r="B687">
        <v>23</v>
      </c>
      <c r="C687">
        <v>22</v>
      </c>
      <c r="D687">
        <v>6.6363640000000004</v>
      </c>
      <c r="E687">
        <v>2</v>
      </c>
      <c r="F687">
        <v>11</v>
      </c>
    </row>
    <row r="688" spans="1:6" x14ac:dyDescent="0.25">
      <c r="A688">
        <v>27</v>
      </c>
      <c r="B688">
        <v>24</v>
      </c>
      <c r="C688">
        <v>72</v>
      </c>
      <c r="D688">
        <v>7.2638889999999998</v>
      </c>
      <c r="E688">
        <v>2</v>
      </c>
      <c r="F688">
        <v>11</v>
      </c>
    </row>
    <row r="689" spans="1:6" x14ac:dyDescent="0.25">
      <c r="A689">
        <v>27</v>
      </c>
      <c r="B689">
        <v>25</v>
      </c>
      <c r="C689">
        <v>12</v>
      </c>
      <c r="D689">
        <v>10</v>
      </c>
      <c r="E689">
        <v>4</v>
      </c>
      <c r="F689">
        <v>17</v>
      </c>
    </row>
    <row r="690" spans="1:6" x14ac:dyDescent="0.25">
      <c r="A690">
        <v>27</v>
      </c>
      <c r="B690">
        <v>26</v>
      </c>
      <c r="C690">
        <v>7</v>
      </c>
      <c r="D690">
        <v>2.8571430000000002</v>
      </c>
      <c r="E690">
        <v>2</v>
      </c>
      <c r="F690">
        <v>4</v>
      </c>
    </row>
    <row r="691" spans="1:6" x14ac:dyDescent="0.25">
      <c r="A691">
        <v>27</v>
      </c>
      <c r="B691">
        <v>27</v>
      </c>
      <c r="C691">
        <v>54</v>
      </c>
      <c r="D691">
        <v>8.0370369999999998</v>
      </c>
      <c r="E691">
        <v>2</v>
      </c>
      <c r="F691">
        <v>13</v>
      </c>
    </row>
    <row r="692" spans="1:6" x14ac:dyDescent="0.25">
      <c r="A692">
        <v>27</v>
      </c>
      <c r="B692">
        <v>28</v>
      </c>
      <c r="C692">
        <v>10</v>
      </c>
      <c r="D692">
        <v>4.3</v>
      </c>
      <c r="E692">
        <v>2</v>
      </c>
      <c r="F692">
        <v>9</v>
      </c>
    </row>
    <row r="693" spans="1:6" x14ac:dyDescent="0.25">
      <c r="A693">
        <v>27</v>
      </c>
      <c r="B693">
        <v>29</v>
      </c>
      <c r="C693">
        <v>14</v>
      </c>
      <c r="D693">
        <v>8</v>
      </c>
      <c r="E693">
        <v>2</v>
      </c>
      <c r="F693">
        <v>13</v>
      </c>
    </row>
    <row r="694" spans="1:6" x14ac:dyDescent="0.25">
      <c r="A694">
        <v>28</v>
      </c>
      <c r="B694">
        <v>0</v>
      </c>
      <c r="C694">
        <v>169</v>
      </c>
      <c r="D694">
        <v>8.7041419999999992</v>
      </c>
      <c r="E694">
        <v>2</v>
      </c>
      <c r="F694">
        <v>13</v>
      </c>
    </row>
    <row r="695" spans="1:6" x14ac:dyDescent="0.25">
      <c r="A695">
        <v>28</v>
      </c>
      <c r="B695">
        <v>1</v>
      </c>
      <c r="C695">
        <v>11</v>
      </c>
      <c r="D695">
        <v>6.3636359999999996</v>
      </c>
      <c r="E695">
        <v>2</v>
      </c>
      <c r="F695">
        <v>11</v>
      </c>
    </row>
    <row r="696" spans="1:6" x14ac:dyDescent="0.25">
      <c r="A696">
        <v>28</v>
      </c>
      <c r="B696">
        <v>2</v>
      </c>
      <c r="C696">
        <v>72</v>
      </c>
      <c r="D696">
        <v>9.0833329999999997</v>
      </c>
      <c r="E696">
        <v>2</v>
      </c>
      <c r="F696">
        <v>14</v>
      </c>
    </row>
    <row r="697" spans="1:6" x14ac:dyDescent="0.25">
      <c r="A697">
        <v>28</v>
      </c>
      <c r="B697">
        <v>3</v>
      </c>
      <c r="C697">
        <v>24</v>
      </c>
      <c r="D697">
        <v>6.7083329999999997</v>
      </c>
      <c r="E697">
        <v>3</v>
      </c>
      <c r="F697">
        <v>11</v>
      </c>
    </row>
    <row r="698" spans="1:6" x14ac:dyDescent="0.25">
      <c r="A698">
        <v>28</v>
      </c>
      <c r="B698">
        <v>4</v>
      </c>
      <c r="C698">
        <v>20</v>
      </c>
      <c r="D698">
        <v>6.75</v>
      </c>
      <c r="E698">
        <v>2</v>
      </c>
      <c r="F698">
        <v>10</v>
      </c>
    </row>
    <row r="699" spans="1:6" x14ac:dyDescent="0.25">
      <c r="A699">
        <v>28</v>
      </c>
      <c r="B699">
        <v>5</v>
      </c>
      <c r="C699">
        <v>85</v>
      </c>
      <c r="D699">
        <v>6.8470589999999998</v>
      </c>
      <c r="E699">
        <v>2</v>
      </c>
      <c r="F699">
        <v>11</v>
      </c>
    </row>
    <row r="700" spans="1:6" x14ac:dyDescent="0.25">
      <c r="A700">
        <v>28</v>
      </c>
      <c r="B700">
        <v>6</v>
      </c>
      <c r="C700">
        <v>99</v>
      </c>
      <c r="D700">
        <v>6.5959599999999998</v>
      </c>
      <c r="E700">
        <v>2</v>
      </c>
      <c r="F700">
        <v>9</v>
      </c>
    </row>
    <row r="701" spans="1:6" x14ac:dyDescent="0.25">
      <c r="A701">
        <v>28</v>
      </c>
      <c r="B701">
        <v>7</v>
      </c>
      <c r="C701">
        <v>49</v>
      </c>
      <c r="D701">
        <v>9.3469390000000008</v>
      </c>
      <c r="E701">
        <v>2</v>
      </c>
      <c r="F701">
        <v>15</v>
      </c>
    </row>
    <row r="702" spans="1:6" x14ac:dyDescent="0.25">
      <c r="A702">
        <v>28</v>
      </c>
      <c r="B702">
        <v>8</v>
      </c>
      <c r="C702">
        <v>36</v>
      </c>
      <c r="D702">
        <v>6.2777779999999996</v>
      </c>
      <c r="E702">
        <v>2</v>
      </c>
      <c r="F702">
        <v>9</v>
      </c>
    </row>
    <row r="703" spans="1:6" x14ac:dyDescent="0.25">
      <c r="A703">
        <v>28</v>
      </c>
      <c r="B703">
        <v>9</v>
      </c>
      <c r="C703">
        <v>25</v>
      </c>
      <c r="D703">
        <v>6.04</v>
      </c>
      <c r="E703">
        <v>3</v>
      </c>
      <c r="F703">
        <v>9</v>
      </c>
    </row>
    <row r="704" spans="1:6" x14ac:dyDescent="0.25">
      <c r="A704">
        <v>28</v>
      </c>
      <c r="B704">
        <v>10</v>
      </c>
      <c r="C704">
        <v>10</v>
      </c>
      <c r="D704">
        <v>4</v>
      </c>
      <c r="E704">
        <v>2</v>
      </c>
      <c r="F704">
        <v>7</v>
      </c>
    </row>
    <row r="705" spans="1:6" x14ac:dyDescent="0.25">
      <c r="A705">
        <v>28</v>
      </c>
      <c r="B705">
        <v>11</v>
      </c>
      <c r="C705">
        <v>19</v>
      </c>
      <c r="D705">
        <v>6.5263159999999996</v>
      </c>
      <c r="E705">
        <v>2</v>
      </c>
      <c r="F705">
        <v>9</v>
      </c>
    </row>
    <row r="706" spans="1:6" x14ac:dyDescent="0.25">
      <c r="A706">
        <v>28</v>
      </c>
      <c r="B706">
        <v>12</v>
      </c>
      <c r="C706">
        <v>8</v>
      </c>
      <c r="D706">
        <v>3.5</v>
      </c>
      <c r="E706">
        <v>2</v>
      </c>
      <c r="F706">
        <v>5</v>
      </c>
    </row>
    <row r="707" spans="1:6" x14ac:dyDescent="0.25">
      <c r="A707">
        <v>28</v>
      </c>
      <c r="B707">
        <v>13</v>
      </c>
      <c r="C707">
        <v>26</v>
      </c>
      <c r="D707">
        <v>7</v>
      </c>
      <c r="E707">
        <v>2</v>
      </c>
      <c r="F707">
        <v>11</v>
      </c>
    </row>
    <row r="708" spans="1:6" x14ac:dyDescent="0.25">
      <c r="A708">
        <v>28</v>
      </c>
      <c r="B708">
        <v>14</v>
      </c>
      <c r="C708">
        <v>41</v>
      </c>
      <c r="D708">
        <v>7.7560979999999997</v>
      </c>
      <c r="E708">
        <v>3</v>
      </c>
      <c r="F708">
        <v>13</v>
      </c>
    </row>
    <row r="709" spans="1:6" x14ac:dyDescent="0.25">
      <c r="A709">
        <v>28</v>
      </c>
      <c r="B709">
        <v>15</v>
      </c>
      <c r="C709">
        <v>46</v>
      </c>
      <c r="D709">
        <v>8.3478259999999995</v>
      </c>
      <c r="E709">
        <v>3</v>
      </c>
      <c r="F709">
        <v>13</v>
      </c>
    </row>
    <row r="710" spans="1:6" x14ac:dyDescent="0.25">
      <c r="A710">
        <v>28</v>
      </c>
      <c r="B710">
        <v>16</v>
      </c>
      <c r="C710">
        <v>26</v>
      </c>
      <c r="D710">
        <v>10</v>
      </c>
      <c r="E710">
        <v>2</v>
      </c>
      <c r="F710">
        <v>15</v>
      </c>
    </row>
    <row r="711" spans="1:6" x14ac:dyDescent="0.25">
      <c r="A711">
        <v>28</v>
      </c>
      <c r="B711">
        <v>17</v>
      </c>
      <c r="C711">
        <v>103</v>
      </c>
      <c r="D711">
        <v>8.4660200000000003</v>
      </c>
      <c r="E711">
        <v>2</v>
      </c>
      <c r="F711">
        <v>12</v>
      </c>
    </row>
    <row r="712" spans="1:6" x14ac:dyDescent="0.25">
      <c r="A712">
        <v>28</v>
      </c>
      <c r="B712">
        <v>18</v>
      </c>
      <c r="C712">
        <v>17</v>
      </c>
      <c r="D712">
        <v>4.6470589999999996</v>
      </c>
      <c r="E712">
        <v>2</v>
      </c>
      <c r="F712">
        <v>7</v>
      </c>
    </row>
    <row r="713" spans="1:6" x14ac:dyDescent="0.25">
      <c r="A713">
        <v>28</v>
      </c>
      <c r="B713">
        <v>19</v>
      </c>
      <c r="C713">
        <v>80</v>
      </c>
      <c r="D713">
        <v>10.175000000000001</v>
      </c>
      <c r="E713">
        <v>4</v>
      </c>
      <c r="F713">
        <v>15</v>
      </c>
    </row>
    <row r="714" spans="1:6" x14ac:dyDescent="0.25">
      <c r="A714">
        <v>28</v>
      </c>
      <c r="B714">
        <v>20</v>
      </c>
      <c r="C714">
        <v>24</v>
      </c>
      <c r="D714">
        <v>5.875</v>
      </c>
      <c r="E714">
        <v>2</v>
      </c>
      <c r="F714">
        <v>9</v>
      </c>
    </row>
    <row r="715" spans="1:6" x14ac:dyDescent="0.25">
      <c r="A715">
        <v>28</v>
      </c>
      <c r="B715">
        <v>21</v>
      </c>
      <c r="C715">
        <v>40</v>
      </c>
      <c r="D715">
        <v>7.9</v>
      </c>
      <c r="E715">
        <v>2</v>
      </c>
      <c r="F715">
        <v>13</v>
      </c>
    </row>
    <row r="716" spans="1:6" x14ac:dyDescent="0.25">
      <c r="A716">
        <v>28</v>
      </c>
      <c r="B716">
        <v>22</v>
      </c>
      <c r="C716">
        <v>45</v>
      </c>
      <c r="D716">
        <v>5.7777779999999996</v>
      </c>
      <c r="E716">
        <v>2</v>
      </c>
      <c r="F716">
        <v>9</v>
      </c>
    </row>
    <row r="717" spans="1:6" x14ac:dyDescent="0.25">
      <c r="A717">
        <v>28</v>
      </c>
      <c r="B717">
        <v>23</v>
      </c>
      <c r="C717">
        <v>25</v>
      </c>
      <c r="D717">
        <v>9.68</v>
      </c>
      <c r="E717">
        <v>4</v>
      </c>
      <c r="F717">
        <v>15</v>
      </c>
    </row>
    <row r="718" spans="1:6" x14ac:dyDescent="0.25">
      <c r="A718">
        <v>28</v>
      </c>
      <c r="B718">
        <v>24</v>
      </c>
      <c r="C718">
        <v>49</v>
      </c>
      <c r="D718">
        <v>8.3673470000000005</v>
      </c>
      <c r="E718">
        <v>2</v>
      </c>
      <c r="F718">
        <v>12</v>
      </c>
    </row>
    <row r="719" spans="1:6" x14ac:dyDescent="0.25">
      <c r="A719">
        <v>28</v>
      </c>
      <c r="B719">
        <v>25</v>
      </c>
      <c r="C719">
        <v>21</v>
      </c>
      <c r="D719">
        <v>7.8095239999999997</v>
      </c>
      <c r="E719">
        <v>3</v>
      </c>
      <c r="F719">
        <v>14</v>
      </c>
    </row>
    <row r="720" spans="1:6" x14ac:dyDescent="0.25">
      <c r="A720">
        <v>28</v>
      </c>
      <c r="B720">
        <v>26</v>
      </c>
      <c r="C720">
        <v>27</v>
      </c>
      <c r="D720">
        <v>8.555555</v>
      </c>
      <c r="E720">
        <v>2</v>
      </c>
      <c r="F720">
        <v>13</v>
      </c>
    </row>
    <row r="721" spans="1:6" x14ac:dyDescent="0.25">
      <c r="A721">
        <v>28</v>
      </c>
      <c r="B721">
        <v>27</v>
      </c>
      <c r="C721">
        <v>27</v>
      </c>
      <c r="D721">
        <v>9.0740739999999995</v>
      </c>
      <c r="E721">
        <v>3</v>
      </c>
      <c r="F721">
        <v>15</v>
      </c>
    </row>
    <row r="722" spans="1:6" x14ac:dyDescent="0.25">
      <c r="A722">
        <v>28</v>
      </c>
      <c r="B722">
        <v>28</v>
      </c>
      <c r="C722">
        <v>28</v>
      </c>
      <c r="D722">
        <v>7.2857139999999996</v>
      </c>
      <c r="E722">
        <v>2</v>
      </c>
      <c r="F722">
        <v>12</v>
      </c>
    </row>
    <row r="723" spans="1:6" x14ac:dyDescent="0.25">
      <c r="A723">
        <v>28</v>
      </c>
      <c r="B723">
        <v>29</v>
      </c>
      <c r="C723">
        <v>70</v>
      </c>
      <c r="D723">
        <v>7.4</v>
      </c>
      <c r="E723">
        <v>2</v>
      </c>
      <c r="F723">
        <v>11</v>
      </c>
    </row>
    <row r="724" spans="1:6" x14ac:dyDescent="0.25">
      <c r="A724">
        <v>29</v>
      </c>
      <c r="B724">
        <v>0</v>
      </c>
      <c r="C724">
        <v>38</v>
      </c>
      <c r="D724">
        <v>5.8157899999999998</v>
      </c>
      <c r="E724">
        <v>2</v>
      </c>
      <c r="F724">
        <v>8</v>
      </c>
    </row>
    <row r="725" spans="1:6" x14ac:dyDescent="0.25">
      <c r="A725">
        <v>29</v>
      </c>
      <c r="B725">
        <v>1</v>
      </c>
      <c r="C725">
        <v>17</v>
      </c>
      <c r="D725">
        <v>6</v>
      </c>
      <c r="E725">
        <v>2</v>
      </c>
      <c r="F725">
        <v>10</v>
      </c>
    </row>
    <row r="726" spans="1:6" x14ac:dyDescent="0.25">
      <c r="A726">
        <v>29</v>
      </c>
      <c r="B726">
        <v>2</v>
      </c>
      <c r="C726">
        <v>52</v>
      </c>
      <c r="D726">
        <v>8.4423069999999996</v>
      </c>
      <c r="E726">
        <v>2</v>
      </c>
      <c r="F726">
        <v>12</v>
      </c>
    </row>
    <row r="727" spans="1:6" x14ac:dyDescent="0.25">
      <c r="A727">
        <v>29</v>
      </c>
      <c r="B727">
        <v>3</v>
      </c>
      <c r="C727">
        <v>10</v>
      </c>
      <c r="D727">
        <v>5.8</v>
      </c>
      <c r="E727">
        <v>2</v>
      </c>
      <c r="F727">
        <v>11</v>
      </c>
    </row>
    <row r="728" spans="1:6" x14ac:dyDescent="0.25">
      <c r="A728">
        <v>29</v>
      </c>
      <c r="B728">
        <v>4</v>
      </c>
      <c r="C728">
        <v>14</v>
      </c>
      <c r="D728">
        <v>4.5</v>
      </c>
      <c r="E728">
        <v>2</v>
      </c>
      <c r="F728">
        <v>7</v>
      </c>
    </row>
    <row r="729" spans="1:6" x14ac:dyDescent="0.25">
      <c r="A729">
        <v>29</v>
      </c>
      <c r="B729">
        <v>5</v>
      </c>
      <c r="C729">
        <v>74</v>
      </c>
      <c r="D729">
        <v>7.3783779999999997</v>
      </c>
      <c r="E729">
        <v>2</v>
      </c>
      <c r="F729">
        <v>11</v>
      </c>
    </row>
    <row r="730" spans="1:6" x14ac:dyDescent="0.25">
      <c r="A730">
        <v>29</v>
      </c>
      <c r="B730">
        <v>6</v>
      </c>
      <c r="C730">
        <v>29</v>
      </c>
      <c r="D730">
        <v>6.9310349999999996</v>
      </c>
      <c r="E730">
        <v>2</v>
      </c>
      <c r="F730">
        <v>12</v>
      </c>
    </row>
    <row r="731" spans="1:6" x14ac:dyDescent="0.25">
      <c r="A731">
        <v>29</v>
      </c>
      <c r="B731">
        <v>7</v>
      </c>
      <c r="C731">
        <v>45</v>
      </c>
      <c r="D731">
        <v>7.3111110000000004</v>
      </c>
      <c r="E731">
        <v>2</v>
      </c>
      <c r="F731">
        <v>12</v>
      </c>
    </row>
    <row r="732" spans="1:6" x14ac:dyDescent="0.25">
      <c r="A732">
        <v>29</v>
      </c>
      <c r="B732">
        <v>8</v>
      </c>
      <c r="C732">
        <v>19</v>
      </c>
      <c r="D732">
        <v>6.6315790000000003</v>
      </c>
      <c r="E732">
        <v>2</v>
      </c>
      <c r="F732">
        <v>11</v>
      </c>
    </row>
    <row r="733" spans="1:6" x14ac:dyDescent="0.25">
      <c r="A733">
        <v>29</v>
      </c>
      <c r="B733">
        <v>9</v>
      </c>
      <c r="C733">
        <v>23</v>
      </c>
      <c r="D733">
        <v>5.3043480000000001</v>
      </c>
      <c r="E733">
        <v>2</v>
      </c>
      <c r="F733">
        <v>9</v>
      </c>
    </row>
    <row r="734" spans="1:6" x14ac:dyDescent="0.25">
      <c r="A734">
        <v>29</v>
      </c>
      <c r="B734">
        <v>10</v>
      </c>
      <c r="C734">
        <v>20</v>
      </c>
      <c r="D734">
        <v>8.15</v>
      </c>
      <c r="E734">
        <v>3</v>
      </c>
      <c r="F734">
        <v>12</v>
      </c>
    </row>
    <row r="735" spans="1:6" x14ac:dyDescent="0.25">
      <c r="A735">
        <v>29</v>
      </c>
      <c r="B735">
        <v>11</v>
      </c>
      <c r="C735">
        <v>32</v>
      </c>
      <c r="D735">
        <v>4.625</v>
      </c>
      <c r="E735">
        <v>2</v>
      </c>
      <c r="F735">
        <v>6</v>
      </c>
    </row>
    <row r="736" spans="1:6" x14ac:dyDescent="0.25">
      <c r="A736">
        <v>29</v>
      </c>
      <c r="B736">
        <v>12</v>
      </c>
      <c r="C736">
        <v>41</v>
      </c>
      <c r="D736">
        <v>9.0731710000000003</v>
      </c>
      <c r="E736">
        <v>3</v>
      </c>
      <c r="F736">
        <v>14</v>
      </c>
    </row>
    <row r="737" spans="1:6" x14ac:dyDescent="0.25">
      <c r="A737">
        <v>29</v>
      </c>
      <c r="B737">
        <v>13</v>
      </c>
      <c r="C737">
        <v>47</v>
      </c>
      <c r="D737">
        <v>4.8297869999999996</v>
      </c>
      <c r="E737">
        <v>2</v>
      </c>
      <c r="F737">
        <v>8</v>
      </c>
    </row>
    <row r="738" spans="1:6" x14ac:dyDescent="0.25">
      <c r="A738">
        <v>29</v>
      </c>
      <c r="B738">
        <v>14</v>
      </c>
      <c r="C738">
        <v>74</v>
      </c>
      <c r="D738">
        <v>6.7837839999999998</v>
      </c>
      <c r="E738">
        <v>3</v>
      </c>
      <c r="F738">
        <v>11</v>
      </c>
    </row>
    <row r="739" spans="1:6" x14ac:dyDescent="0.25">
      <c r="A739">
        <v>29</v>
      </c>
      <c r="B739">
        <v>15</v>
      </c>
      <c r="C739">
        <v>42</v>
      </c>
      <c r="D739">
        <v>6.9285709999999998</v>
      </c>
      <c r="E739">
        <v>2</v>
      </c>
      <c r="F739">
        <v>10</v>
      </c>
    </row>
    <row r="740" spans="1:6" x14ac:dyDescent="0.25">
      <c r="A740">
        <v>29</v>
      </c>
      <c r="B740">
        <v>16</v>
      </c>
      <c r="C740">
        <v>22</v>
      </c>
      <c r="D740">
        <v>7.4545450000000004</v>
      </c>
      <c r="E740">
        <v>2</v>
      </c>
      <c r="F740">
        <v>13</v>
      </c>
    </row>
    <row r="741" spans="1:6" x14ac:dyDescent="0.25">
      <c r="A741">
        <v>29</v>
      </c>
      <c r="B741">
        <v>17</v>
      </c>
      <c r="C741">
        <v>34</v>
      </c>
      <c r="D741">
        <v>7.0588240000000004</v>
      </c>
      <c r="E741">
        <v>2</v>
      </c>
      <c r="F741">
        <v>10</v>
      </c>
    </row>
    <row r="742" spans="1:6" x14ac:dyDescent="0.25">
      <c r="A742">
        <v>29</v>
      </c>
      <c r="B742">
        <v>18</v>
      </c>
      <c r="C742">
        <v>63</v>
      </c>
      <c r="D742">
        <v>6.2539680000000004</v>
      </c>
      <c r="E742">
        <v>2</v>
      </c>
      <c r="F742">
        <v>10</v>
      </c>
    </row>
    <row r="743" spans="1:6" x14ac:dyDescent="0.25">
      <c r="A743">
        <v>29</v>
      </c>
      <c r="B743">
        <v>19</v>
      </c>
      <c r="C743">
        <v>72</v>
      </c>
      <c r="D743">
        <v>8.9027779999999996</v>
      </c>
      <c r="E743">
        <v>2</v>
      </c>
      <c r="F743">
        <v>14</v>
      </c>
    </row>
    <row r="744" spans="1:6" x14ac:dyDescent="0.25">
      <c r="A744">
        <v>29</v>
      </c>
      <c r="B744">
        <v>20</v>
      </c>
      <c r="C744">
        <v>235</v>
      </c>
      <c r="D744">
        <v>9.485106</v>
      </c>
      <c r="E744">
        <v>2</v>
      </c>
      <c r="F744">
        <v>14</v>
      </c>
    </row>
    <row r="745" spans="1:6" x14ac:dyDescent="0.25">
      <c r="A745">
        <v>29</v>
      </c>
      <c r="B745">
        <v>21</v>
      </c>
      <c r="C745">
        <v>132</v>
      </c>
      <c r="D745">
        <v>8.6136359999999996</v>
      </c>
      <c r="E745">
        <v>2</v>
      </c>
      <c r="F745">
        <v>13</v>
      </c>
    </row>
    <row r="746" spans="1:6" x14ac:dyDescent="0.25">
      <c r="A746">
        <v>29</v>
      </c>
      <c r="B746">
        <v>22</v>
      </c>
      <c r="C746">
        <v>93</v>
      </c>
      <c r="D746">
        <v>9.8924730000000007</v>
      </c>
      <c r="E746">
        <v>2</v>
      </c>
      <c r="F746">
        <v>16</v>
      </c>
    </row>
    <row r="747" spans="1:6" x14ac:dyDescent="0.25">
      <c r="A747">
        <v>29</v>
      </c>
      <c r="B747">
        <v>23</v>
      </c>
      <c r="C747">
        <v>59</v>
      </c>
      <c r="D747">
        <v>8.3728809999999996</v>
      </c>
      <c r="E747">
        <v>2</v>
      </c>
      <c r="F747">
        <v>13</v>
      </c>
    </row>
    <row r="748" spans="1:6" x14ac:dyDescent="0.25">
      <c r="A748">
        <v>29</v>
      </c>
      <c r="B748">
        <v>24</v>
      </c>
      <c r="C748">
        <v>66</v>
      </c>
      <c r="D748">
        <v>7.6212119999999999</v>
      </c>
      <c r="E748">
        <v>2</v>
      </c>
      <c r="F748">
        <v>12</v>
      </c>
    </row>
    <row r="749" spans="1:6" x14ac:dyDescent="0.25">
      <c r="A749">
        <v>29</v>
      </c>
      <c r="B749">
        <v>25</v>
      </c>
      <c r="C749">
        <v>16</v>
      </c>
      <c r="D749">
        <v>4.75</v>
      </c>
      <c r="E749">
        <v>2</v>
      </c>
      <c r="F749">
        <v>8</v>
      </c>
    </row>
    <row r="750" spans="1:6" x14ac:dyDescent="0.25">
      <c r="A750">
        <v>29</v>
      </c>
      <c r="B750">
        <v>26</v>
      </c>
      <c r="C750">
        <v>63</v>
      </c>
      <c r="D750">
        <v>7.1904760000000003</v>
      </c>
      <c r="E750">
        <v>2</v>
      </c>
      <c r="F750">
        <v>11</v>
      </c>
    </row>
    <row r="751" spans="1:6" x14ac:dyDescent="0.25">
      <c r="A751">
        <v>29</v>
      </c>
      <c r="B751">
        <v>27</v>
      </c>
      <c r="C751">
        <v>21</v>
      </c>
      <c r="D751">
        <v>7.5714290000000002</v>
      </c>
      <c r="E751">
        <v>2</v>
      </c>
      <c r="F751">
        <v>12</v>
      </c>
    </row>
    <row r="752" spans="1:6" x14ac:dyDescent="0.25">
      <c r="A752">
        <v>29</v>
      </c>
      <c r="B752">
        <v>28</v>
      </c>
      <c r="C752">
        <v>15</v>
      </c>
      <c r="D752">
        <v>5</v>
      </c>
      <c r="E752">
        <v>3</v>
      </c>
      <c r="F752">
        <v>8</v>
      </c>
    </row>
    <row r="753" spans="1:6" x14ac:dyDescent="0.25">
      <c r="A753">
        <v>29</v>
      </c>
      <c r="B753">
        <v>29</v>
      </c>
      <c r="C753">
        <v>33</v>
      </c>
      <c r="D753">
        <v>4.6363640000000004</v>
      </c>
      <c r="E753">
        <v>2</v>
      </c>
      <c r="F753">
        <v>7</v>
      </c>
    </row>
    <row r="754" spans="1:6" x14ac:dyDescent="0.25">
      <c r="A754">
        <v>30</v>
      </c>
      <c r="B754">
        <v>0</v>
      </c>
      <c r="C754">
        <v>91</v>
      </c>
      <c r="D754">
        <v>9.7032969999999992</v>
      </c>
      <c r="E754">
        <v>2</v>
      </c>
      <c r="F754">
        <v>14</v>
      </c>
    </row>
    <row r="755" spans="1:6" x14ac:dyDescent="0.25">
      <c r="A755">
        <v>30</v>
      </c>
      <c r="B755">
        <v>1</v>
      </c>
      <c r="C755">
        <v>38</v>
      </c>
      <c r="D755">
        <v>6.5263159999999996</v>
      </c>
      <c r="E755">
        <v>2</v>
      </c>
      <c r="F755">
        <v>11</v>
      </c>
    </row>
    <row r="756" spans="1:6" x14ac:dyDescent="0.25">
      <c r="A756">
        <v>30</v>
      </c>
      <c r="B756">
        <v>2</v>
      </c>
      <c r="C756">
        <v>76</v>
      </c>
      <c r="D756">
        <v>8.7631580000000007</v>
      </c>
      <c r="E756">
        <v>2</v>
      </c>
      <c r="F756">
        <v>15</v>
      </c>
    </row>
    <row r="757" spans="1:6" x14ac:dyDescent="0.25">
      <c r="A757">
        <v>30</v>
      </c>
      <c r="B757">
        <v>3</v>
      </c>
      <c r="C757">
        <v>87</v>
      </c>
      <c r="D757">
        <v>9.0689659999999996</v>
      </c>
      <c r="E757">
        <v>2</v>
      </c>
      <c r="F757">
        <v>13</v>
      </c>
    </row>
    <row r="758" spans="1:6" x14ac:dyDescent="0.25">
      <c r="A758">
        <v>30</v>
      </c>
      <c r="B758">
        <v>4</v>
      </c>
      <c r="C758">
        <v>28</v>
      </c>
      <c r="D758">
        <v>6.7142860000000004</v>
      </c>
      <c r="E758">
        <v>2</v>
      </c>
      <c r="F758">
        <v>11</v>
      </c>
    </row>
    <row r="759" spans="1:6" x14ac:dyDescent="0.25">
      <c r="A759">
        <v>30</v>
      </c>
      <c r="B759">
        <v>5</v>
      </c>
      <c r="C759">
        <v>31</v>
      </c>
      <c r="D759">
        <v>5.4838709999999997</v>
      </c>
      <c r="E759">
        <v>2</v>
      </c>
      <c r="F759">
        <v>8</v>
      </c>
    </row>
    <row r="760" spans="1:6" x14ac:dyDescent="0.25">
      <c r="A760">
        <v>30</v>
      </c>
      <c r="B760">
        <v>6</v>
      </c>
      <c r="C760">
        <v>91</v>
      </c>
      <c r="D760">
        <v>8.1428580000000004</v>
      </c>
      <c r="E760">
        <v>2</v>
      </c>
      <c r="F760">
        <v>13</v>
      </c>
    </row>
    <row r="761" spans="1:6" x14ac:dyDescent="0.25">
      <c r="A761">
        <v>30</v>
      </c>
      <c r="B761">
        <v>7</v>
      </c>
      <c r="C761">
        <v>43</v>
      </c>
      <c r="D761">
        <v>8.5581399999999999</v>
      </c>
      <c r="E761">
        <v>3</v>
      </c>
      <c r="F761">
        <v>17</v>
      </c>
    </row>
    <row r="762" spans="1:6" x14ac:dyDescent="0.25">
      <c r="A762">
        <v>30</v>
      </c>
      <c r="B762">
        <v>8</v>
      </c>
      <c r="C762">
        <v>94</v>
      </c>
      <c r="D762">
        <v>8.7446800000000007</v>
      </c>
      <c r="E762">
        <v>3</v>
      </c>
      <c r="F762">
        <v>14</v>
      </c>
    </row>
    <row r="763" spans="1:6" x14ac:dyDescent="0.25">
      <c r="A763">
        <v>30</v>
      </c>
      <c r="B763">
        <v>9</v>
      </c>
      <c r="C763">
        <v>210</v>
      </c>
      <c r="D763">
        <v>9.2476190000000003</v>
      </c>
      <c r="E763">
        <v>2</v>
      </c>
      <c r="F763">
        <v>15</v>
      </c>
    </row>
    <row r="764" spans="1:6" x14ac:dyDescent="0.25">
      <c r="A764">
        <v>30</v>
      </c>
      <c r="B764">
        <v>10</v>
      </c>
      <c r="C764">
        <v>125</v>
      </c>
      <c r="D764">
        <v>9.968</v>
      </c>
      <c r="E764">
        <v>2</v>
      </c>
      <c r="F764">
        <v>15</v>
      </c>
    </row>
    <row r="765" spans="1:6" x14ac:dyDescent="0.25">
      <c r="A765">
        <v>30</v>
      </c>
      <c r="B765">
        <v>11</v>
      </c>
      <c r="C765">
        <v>42</v>
      </c>
      <c r="D765">
        <v>7.2857139999999996</v>
      </c>
      <c r="E765">
        <v>2</v>
      </c>
      <c r="F765">
        <v>11</v>
      </c>
    </row>
    <row r="766" spans="1:6" x14ac:dyDescent="0.25">
      <c r="A766">
        <v>30</v>
      </c>
      <c r="B766">
        <v>12</v>
      </c>
      <c r="C766">
        <v>66</v>
      </c>
      <c r="D766">
        <v>7.9848480000000004</v>
      </c>
      <c r="E766">
        <v>2</v>
      </c>
      <c r="F766">
        <v>13</v>
      </c>
    </row>
    <row r="767" spans="1:6" x14ac:dyDescent="0.25">
      <c r="A767">
        <v>30</v>
      </c>
      <c r="B767">
        <v>13</v>
      </c>
      <c r="C767">
        <v>185</v>
      </c>
      <c r="D767">
        <v>9.508108</v>
      </c>
      <c r="E767">
        <v>2</v>
      </c>
      <c r="F767">
        <v>16</v>
      </c>
    </row>
    <row r="768" spans="1:6" x14ac:dyDescent="0.25">
      <c r="A768">
        <v>30</v>
      </c>
      <c r="B768">
        <v>14</v>
      </c>
      <c r="C768">
        <v>61</v>
      </c>
      <c r="D768">
        <v>6.7213120000000002</v>
      </c>
      <c r="E768">
        <v>2</v>
      </c>
      <c r="F768">
        <v>10</v>
      </c>
    </row>
    <row r="769" spans="1:6" x14ac:dyDescent="0.25">
      <c r="A769">
        <v>30</v>
      </c>
      <c r="B769">
        <v>15</v>
      </c>
      <c r="C769">
        <v>158</v>
      </c>
      <c r="D769">
        <v>8.4810119999999998</v>
      </c>
      <c r="E769">
        <v>2</v>
      </c>
      <c r="F769">
        <v>12</v>
      </c>
    </row>
    <row r="770" spans="1:6" x14ac:dyDescent="0.25">
      <c r="A770">
        <v>30</v>
      </c>
      <c r="B770">
        <v>16</v>
      </c>
      <c r="C770">
        <v>70</v>
      </c>
      <c r="D770">
        <v>8.0428569999999997</v>
      </c>
      <c r="E770">
        <v>2</v>
      </c>
      <c r="F770">
        <v>13</v>
      </c>
    </row>
    <row r="771" spans="1:6" x14ac:dyDescent="0.25">
      <c r="A771">
        <v>30</v>
      </c>
      <c r="B771">
        <v>17</v>
      </c>
      <c r="C771">
        <v>57</v>
      </c>
      <c r="D771">
        <v>8.2982449999999996</v>
      </c>
      <c r="E771">
        <v>2</v>
      </c>
      <c r="F771">
        <v>12</v>
      </c>
    </row>
    <row r="772" spans="1:6" x14ac:dyDescent="0.25">
      <c r="A772">
        <v>30</v>
      </c>
      <c r="B772">
        <v>18</v>
      </c>
      <c r="C772">
        <v>110</v>
      </c>
      <c r="D772">
        <v>7.5727270000000004</v>
      </c>
      <c r="E772">
        <v>2</v>
      </c>
      <c r="F772">
        <v>12</v>
      </c>
    </row>
    <row r="773" spans="1:6" x14ac:dyDescent="0.25">
      <c r="A773">
        <v>30</v>
      </c>
      <c r="B773">
        <v>19</v>
      </c>
      <c r="C773">
        <v>38</v>
      </c>
      <c r="D773">
        <v>7.6842100000000002</v>
      </c>
      <c r="E773">
        <v>2</v>
      </c>
      <c r="F773">
        <v>12</v>
      </c>
    </row>
    <row r="774" spans="1:6" x14ac:dyDescent="0.25">
      <c r="A774">
        <v>30</v>
      </c>
      <c r="B774">
        <v>20</v>
      </c>
      <c r="C774">
        <v>18</v>
      </c>
      <c r="D774">
        <v>6.6111110000000002</v>
      </c>
      <c r="E774">
        <v>2</v>
      </c>
      <c r="F774">
        <v>12</v>
      </c>
    </row>
    <row r="775" spans="1:6" x14ac:dyDescent="0.25">
      <c r="A775">
        <v>30</v>
      </c>
      <c r="B775">
        <v>21</v>
      </c>
      <c r="C775">
        <v>58</v>
      </c>
      <c r="D775">
        <v>5.3448279999999997</v>
      </c>
      <c r="E775">
        <v>2</v>
      </c>
      <c r="F775">
        <v>8</v>
      </c>
    </row>
    <row r="776" spans="1:6" x14ac:dyDescent="0.25">
      <c r="A776">
        <v>30</v>
      </c>
      <c r="B776">
        <v>22</v>
      </c>
      <c r="C776">
        <v>59</v>
      </c>
      <c r="D776">
        <v>7.4915260000000004</v>
      </c>
      <c r="E776">
        <v>2</v>
      </c>
      <c r="F776">
        <v>13</v>
      </c>
    </row>
    <row r="777" spans="1:6" x14ac:dyDescent="0.25">
      <c r="A777">
        <v>30</v>
      </c>
      <c r="B777">
        <v>23</v>
      </c>
      <c r="C777">
        <v>99</v>
      </c>
      <c r="D777">
        <v>6.2525250000000003</v>
      </c>
      <c r="E777">
        <v>2</v>
      </c>
      <c r="F777">
        <v>10</v>
      </c>
    </row>
    <row r="778" spans="1:6" x14ac:dyDescent="0.25">
      <c r="A778">
        <v>30</v>
      </c>
      <c r="B778">
        <v>24</v>
      </c>
      <c r="C778">
        <v>89</v>
      </c>
      <c r="D778">
        <v>7.5280899999999997</v>
      </c>
      <c r="E778">
        <v>2</v>
      </c>
      <c r="F778">
        <v>12</v>
      </c>
    </row>
    <row r="779" spans="1:6" x14ac:dyDescent="0.25">
      <c r="A779">
        <v>30</v>
      </c>
      <c r="B779">
        <v>25</v>
      </c>
      <c r="C779">
        <v>41</v>
      </c>
      <c r="D779">
        <v>6.7804880000000001</v>
      </c>
      <c r="E779">
        <v>2</v>
      </c>
      <c r="F779">
        <v>12</v>
      </c>
    </row>
    <row r="780" spans="1:6" x14ac:dyDescent="0.25">
      <c r="A780">
        <v>30</v>
      </c>
      <c r="B780">
        <v>26</v>
      </c>
      <c r="C780">
        <v>68</v>
      </c>
      <c r="D780">
        <v>8.4117650000000008</v>
      </c>
      <c r="E780">
        <v>2</v>
      </c>
      <c r="F780">
        <v>14</v>
      </c>
    </row>
    <row r="781" spans="1:6" x14ac:dyDescent="0.25">
      <c r="A781">
        <v>30</v>
      </c>
      <c r="B781">
        <v>27</v>
      </c>
      <c r="C781">
        <v>50</v>
      </c>
      <c r="D781">
        <v>8.0399999999999991</v>
      </c>
      <c r="E781">
        <v>2</v>
      </c>
      <c r="F781">
        <v>14</v>
      </c>
    </row>
    <row r="782" spans="1:6" x14ac:dyDescent="0.25">
      <c r="A782">
        <v>30</v>
      </c>
      <c r="B782">
        <v>28</v>
      </c>
      <c r="C782">
        <v>21</v>
      </c>
      <c r="D782">
        <v>4.3333329999999997</v>
      </c>
      <c r="E782">
        <v>2</v>
      </c>
      <c r="F782">
        <v>6</v>
      </c>
    </row>
    <row r="783" spans="1:6" x14ac:dyDescent="0.25">
      <c r="A783">
        <v>30</v>
      </c>
      <c r="B783">
        <v>29</v>
      </c>
      <c r="C783">
        <v>57</v>
      </c>
      <c r="D783">
        <v>7.3684209999999997</v>
      </c>
      <c r="E783">
        <v>2</v>
      </c>
      <c r="F783">
        <v>11</v>
      </c>
    </row>
    <row r="784" spans="1:6" x14ac:dyDescent="0.25">
      <c r="A784">
        <v>31</v>
      </c>
      <c r="B784">
        <v>0</v>
      </c>
      <c r="C784">
        <v>139</v>
      </c>
      <c r="D784">
        <v>9.5683450000000008</v>
      </c>
      <c r="E784">
        <v>2</v>
      </c>
      <c r="F784">
        <v>15</v>
      </c>
    </row>
    <row r="785" spans="1:6" x14ac:dyDescent="0.25">
      <c r="A785">
        <v>31</v>
      </c>
      <c r="B785">
        <v>1</v>
      </c>
      <c r="C785">
        <v>161</v>
      </c>
      <c r="D785">
        <v>8.5714279999999992</v>
      </c>
      <c r="E785">
        <v>2</v>
      </c>
      <c r="F785">
        <v>12</v>
      </c>
    </row>
    <row r="786" spans="1:6" x14ac:dyDescent="0.25">
      <c r="A786">
        <v>31</v>
      </c>
      <c r="B786">
        <v>2</v>
      </c>
      <c r="C786">
        <v>93</v>
      </c>
      <c r="D786">
        <v>7.698925</v>
      </c>
      <c r="E786">
        <v>3</v>
      </c>
      <c r="F786">
        <v>12</v>
      </c>
    </row>
    <row r="787" spans="1:6" x14ac:dyDescent="0.25">
      <c r="A787">
        <v>31</v>
      </c>
      <c r="B787">
        <v>3</v>
      </c>
      <c r="C787">
        <v>78</v>
      </c>
      <c r="D787">
        <v>6.4102560000000004</v>
      </c>
      <c r="E787">
        <v>2</v>
      </c>
      <c r="F787">
        <v>12</v>
      </c>
    </row>
    <row r="788" spans="1:6" x14ac:dyDescent="0.25">
      <c r="A788">
        <v>31</v>
      </c>
      <c r="B788">
        <v>4</v>
      </c>
      <c r="C788">
        <v>44</v>
      </c>
      <c r="D788">
        <v>6.9545450000000004</v>
      </c>
      <c r="E788">
        <v>2</v>
      </c>
      <c r="F788">
        <v>9</v>
      </c>
    </row>
    <row r="789" spans="1:6" x14ac:dyDescent="0.25">
      <c r="A789">
        <v>31</v>
      </c>
      <c r="B789">
        <v>5</v>
      </c>
      <c r="C789">
        <v>27</v>
      </c>
      <c r="D789">
        <v>8.2222220000000004</v>
      </c>
      <c r="E789">
        <v>2</v>
      </c>
      <c r="F789">
        <v>13</v>
      </c>
    </row>
    <row r="790" spans="1:6" x14ac:dyDescent="0.25">
      <c r="A790">
        <v>31</v>
      </c>
      <c r="B790">
        <v>6</v>
      </c>
      <c r="C790">
        <v>22</v>
      </c>
      <c r="D790">
        <v>7.0909089999999999</v>
      </c>
      <c r="E790">
        <v>2</v>
      </c>
      <c r="F790">
        <v>12</v>
      </c>
    </row>
    <row r="791" spans="1:6" x14ac:dyDescent="0.25">
      <c r="A791">
        <v>31</v>
      </c>
      <c r="B791">
        <v>7</v>
      </c>
      <c r="C791">
        <v>37</v>
      </c>
      <c r="D791">
        <v>5.0270270000000004</v>
      </c>
      <c r="E791">
        <v>2</v>
      </c>
      <c r="F791">
        <v>7</v>
      </c>
    </row>
    <row r="792" spans="1:6" x14ac:dyDescent="0.25">
      <c r="A792">
        <v>31</v>
      </c>
      <c r="B792">
        <v>8</v>
      </c>
      <c r="C792">
        <v>100</v>
      </c>
      <c r="D792">
        <v>8.99</v>
      </c>
      <c r="E792">
        <v>2</v>
      </c>
      <c r="F792">
        <v>14</v>
      </c>
    </row>
    <row r="793" spans="1:6" x14ac:dyDescent="0.25">
      <c r="A793">
        <v>31</v>
      </c>
      <c r="B793">
        <v>9</v>
      </c>
      <c r="C793">
        <v>40</v>
      </c>
      <c r="D793">
        <v>10.15</v>
      </c>
      <c r="E793">
        <v>4</v>
      </c>
      <c r="F793">
        <v>15</v>
      </c>
    </row>
    <row r="794" spans="1:6" x14ac:dyDescent="0.25">
      <c r="A794">
        <v>31</v>
      </c>
      <c r="B794">
        <v>10</v>
      </c>
      <c r="C794">
        <v>72</v>
      </c>
      <c r="D794">
        <v>7.1527779999999996</v>
      </c>
      <c r="E794">
        <v>3</v>
      </c>
      <c r="F794">
        <v>11</v>
      </c>
    </row>
    <row r="795" spans="1:6" x14ac:dyDescent="0.25">
      <c r="A795">
        <v>31</v>
      </c>
      <c r="B795">
        <v>11</v>
      </c>
      <c r="C795">
        <v>56</v>
      </c>
      <c r="D795">
        <v>8.1607140000000005</v>
      </c>
      <c r="E795">
        <v>2</v>
      </c>
      <c r="F795">
        <v>12</v>
      </c>
    </row>
    <row r="796" spans="1:6" x14ac:dyDescent="0.25">
      <c r="A796">
        <v>31</v>
      </c>
      <c r="B796">
        <v>12</v>
      </c>
      <c r="C796">
        <v>130</v>
      </c>
      <c r="D796">
        <v>8.6769230000000004</v>
      </c>
      <c r="E796">
        <v>2</v>
      </c>
      <c r="F796">
        <v>13</v>
      </c>
    </row>
    <row r="797" spans="1:6" x14ac:dyDescent="0.25">
      <c r="A797">
        <v>31</v>
      </c>
      <c r="B797">
        <v>13</v>
      </c>
      <c r="C797">
        <v>187</v>
      </c>
      <c r="D797">
        <v>8.1122999999999994</v>
      </c>
      <c r="E797">
        <v>2</v>
      </c>
      <c r="F797">
        <v>12</v>
      </c>
    </row>
    <row r="798" spans="1:6" x14ac:dyDescent="0.25">
      <c r="A798">
        <v>31</v>
      </c>
      <c r="B798">
        <v>14</v>
      </c>
      <c r="C798">
        <v>179</v>
      </c>
      <c r="D798">
        <v>9.4860330000000008</v>
      </c>
      <c r="E798">
        <v>3</v>
      </c>
      <c r="F798">
        <v>16</v>
      </c>
    </row>
    <row r="799" spans="1:6" x14ac:dyDescent="0.25">
      <c r="A799">
        <v>31</v>
      </c>
      <c r="B799">
        <v>15</v>
      </c>
      <c r="C799">
        <v>190</v>
      </c>
      <c r="D799">
        <v>7.5210530000000002</v>
      </c>
      <c r="E799">
        <v>2</v>
      </c>
      <c r="F799">
        <v>11</v>
      </c>
    </row>
    <row r="800" spans="1:6" x14ac:dyDescent="0.25">
      <c r="A800">
        <v>31</v>
      </c>
      <c r="B800">
        <v>16</v>
      </c>
      <c r="C800">
        <v>246</v>
      </c>
      <c r="D800">
        <v>10.398374</v>
      </c>
      <c r="E800">
        <v>2</v>
      </c>
      <c r="F800">
        <v>13</v>
      </c>
    </row>
    <row r="801" spans="1:6" x14ac:dyDescent="0.25">
      <c r="A801">
        <v>31</v>
      </c>
      <c r="B801">
        <v>17</v>
      </c>
      <c r="C801">
        <v>349</v>
      </c>
      <c r="D801">
        <v>9.7335239999999992</v>
      </c>
      <c r="E801">
        <v>2</v>
      </c>
      <c r="F801">
        <v>15</v>
      </c>
    </row>
    <row r="802" spans="1:6" x14ac:dyDescent="0.25">
      <c r="A802">
        <v>31</v>
      </c>
      <c r="B802">
        <v>18</v>
      </c>
      <c r="C802">
        <v>116</v>
      </c>
      <c r="D802">
        <v>9.7931030000000003</v>
      </c>
      <c r="E802">
        <v>2</v>
      </c>
      <c r="F802">
        <v>14</v>
      </c>
    </row>
    <row r="803" spans="1:6" x14ac:dyDescent="0.25">
      <c r="A803">
        <v>31</v>
      </c>
      <c r="B803">
        <v>19</v>
      </c>
      <c r="C803">
        <v>17</v>
      </c>
      <c r="D803">
        <v>4.1764710000000003</v>
      </c>
      <c r="E803">
        <v>2</v>
      </c>
      <c r="F803">
        <v>7</v>
      </c>
    </row>
    <row r="804" spans="1:6" x14ac:dyDescent="0.25">
      <c r="A804">
        <v>31</v>
      </c>
      <c r="B804">
        <v>20</v>
      </c>
      <c r="C804">
        <v>21</v>
      </c>
      <c r="D804">
        <v>4.7619049999999996</v>
      </c>
      <c r="E804">
        <v>2</v>
      </c>
      <c r="F804">
        <v>7</v>
      </c>
    </row>
    <row r="805" spans="1:6" x14ac:dyDescent="0.25">
      <c r="A805">
        <v>31</v>
      </c>
      <c r="B805">
        <v>21</v>
      </c>
      <c r="C805">
        <v>244</v>
      </c>
      <c r="D805">
        <v>7.9385250000000003</v>
      </c>
      <c r="E805">
        <v>3</v>
      </c>
      <c r="F805">
        <v>12</v>
      </c>
    </row>
    <row r="806" spans="1:6" x14ac:dyDescent="0.25">
      <c r="A806">
        <v>31</v>
      </c>
      <c r="B806">
        <v>22</v>
      </c>
      <c r="C806">
        <v>65</v>
      </c>
      <c r="D806">
        <v>5.8307690000000001</v>
      </c>
      <c r="E806">
        <v>2</v>
      </c>
      <c r="F806">
        <v>10</v>
      </c>
    </row>
    <row r="807" spans="1:6" x14ac:dyDescent="0.25">
      <c r="A807">
        <v>31</v>
      </c>
      <c r="B807">
        <v>23</v>
      </c>
      <c r="C807">
        <v>142</v>
      </c>
      <c r="D807">
        <v>9.2605640000000005</v>
      </c>
      <c r="E807">
        <v>3</v>
      </c>
      <c r="F807">
        <v>13</v>
      </c>
    </row>
    <row r="808" spans="1:6" x14ac:dyDescent="0.25">
      <c r="A808">
        <v>31</v>
      </c>
      <c r="B808">
        <v>24</v>
      </c>
      <c r="C808">
        <v>1661</v>
      </c>
      <c r="D808">
        <v>12.739314</v>
      </c>
      <c r="E808">
        <v>2</v>
      </c>
      <c r="F808">
        <v>18</v>
      </c>
    </row>
    <row r="809" spans="1:6" x14ac:dyDescent="0.25">
      <c r="A809">
        <v>31</v>
      </c>
      <c r="B809">
        <v>25</v>
      </c>
      <c r="C809">
        <v>112</v>
      </c>
      <c r="D809">
        <v>10.589286</v>
      </c>
      <c r="E809">
        <v>2</v>
      </c>
      <c r="F809">
        <v>17</v>
      </c>
    </row>
    <row r="810" spans="1:6" x14ac:dyDescent="0.25">
      <c r="A810">
        <v>31</v>
      </c>
      <c r="B810">
        <v>26</v>
      </c>
      <c r="C810">
        <v>30</v>
      </c>
      <c r="D810">
        <v>6.0666669999999998</v>
      </c>
      <c r="E810">
        <v>2</v>
      </c>
      <c r="F810">
        <v>12</v>
      </c>
    </row>
    <row r="811" spans="1:6" x14ac:dyDescent="0.25">
      <c r="A811">
        <v>31</v>
      </c>
      <c r="B811">
        <v>27</v>
      </c>
      <c r="C811">
        <v>16</v>
      </c>
      <c r="D811">
        <v>4.25</v>
      </c>
      <c r="E811">
        <v>2</v>
      </c>
      <c r="F811">
        <v>7</v>
      </c>
    </row>
    <row r="812" spans="1:6" x14ac:dyDescent="0.25">
      <c r="A812">
        <v>31</v>
      </c>
      <c r="B812">
        <v>28</v>
      </c>
      <c r="C812">
        <v>54</v>
      </c>
      <c r="D812">
        <v>8.1851850000000006</v>
      </c>
      <c r="E812">
        <v>2</v>
      </c>
      <c r="F812">
        <v>15</v>
      </c>
    </row>
    <row r="813" spans="1:6" x14ac:dyDescent="0.25">
      <c r="A813">
        <v>31</v>
      </c>
      <c r="B813">
        <v>29</v>
      </c>
      <c r="C813">
        <v>115</v>
      </c>
      <c r="D813">
        <v>7.8173909999999998</v>
      </c>
      <c r="E813">
        <v>3</v>
      </c>
      <c r="F813">
        <v>12</v>
      </c>
    </row>
    <row r="814" spans="1:6" x14ac:dyDescent="0.25">
      <c r="A814">
        <v>32</v>
      </c>
      <c r="B814">
        <v>0</v>
      </c>
      <c r="C814">
        <v>146</v>
      </c>
      <c r="D814">
        <v>9.1849319999999999</v>
      </c>
      <c r="E814">
        <v>2</v>
      </c>
      <c r="F814">
        <v>14</v>
      </c>
    </row>
    <row r="815" spans="1:6" x14ac:dyDescent="0.25">
      <c r="A815">
        <v>32</v>
      </c>
      <c r="B815">
        <v>1</v>
      </c>
      <c r="C815">
        <v>294</v>
      </c>
      <c r="D815">
        <v>9.4115649999999995</v>
      </c>
      <c r="E815">
        <v>2</v>
      </c>
      <c r="F815">
        <v>14</v>
      </c>
    </row>
    <row r="816" spans="1:6" x14ac:dyDescent="0.25">
      <c r="A816">
        <v>32</v>
      </c>
      <c r="B816">
        <v>2</v>
      </c>
      <c r="C816">
        <v>67</v>
      </c>
      <c r="D816">
        <v>7.5223880000000003</v>
      </c>
      <c r="E816">
        <v>2</v>
      </c>
      <c r="F816">
        <v>11</v>
      </c>
    </row>
    <row r="817" spans="1:6" x14ac:dyDescent="0.25">
      <c r="A817">
        <v>32</v>
      </c>
      <c r="B817">
        <v>3</v>
      </c>
      <c r="C817">
        <v>164</v>
      </c>
      <c r="D817">
        <v>8.5975610000000007</v>
      </c>
      <c r="E817">
        <v>3</v>
      </c>
      <c r="F817">
        <v>13</v>
      </c>
    </row>
    <row r="818" spans="1:6" x14ac:dyDescent="0.25">
      <c r="A818">
        <v>32</v>
      </c>
      <c r="B818">
        <v>4</v>
      </c>
      <c r="C818">
        <v>81</v>
      </c>
      <c r="D818">
        <v>7.7160489999999999</v>
      </c>
      <c r="E818">
        <v>2</v>
      </c>
      <c r="F818">
        <v>12</v>
      </c>
    </row>
    <row r="819" spans="1:6" x14ac:dyDescent="0.25">
      <c r="A819">
        <v>32</v>
      </c>
      <c r="B819">
        <v>5</v>
      </c>
      <c r="C819">
        <v>172</v>
      </c>
      <c r="D819">
        <v>10.895349</v>
      </c>
      <c r="E819">
        <v>3</v>
      </c>
      <c r="F819">
        <v>17</v>
      </c>
    </row>
    <row r="820" spans="1:6" x14ac:dyDescent="0.25">
      <c r="A820">
        <v>32</v>
      </c>
      <c r="B820">
        <v>6</v>
      </c>
      <c r="C820">
        <v>34</v>
      </c>
      <c r="D820">
        <v>6.6470589999999996</v>
      </c>
      <c r="E820">
        <v>2</v>
      </c>
      <c r="F820">
        <v>12</v>
      </c>
    </row>
    <row r="821" spans="1:6" x14ac:dyDescent="0.25">
      <c r="A821">
        <v>32</v>
      </c>
      <c r="B821">
        <v>7</v>
      </c>
      <c r="C821">
        <v>53</v>
      </c>
      <c r="D821">
        <v>7.5849060000000001</v>
      </c>
      <c r="E821">
        <v>2</v>
      </c>
      <c r="F821">
        <v>12</v>
      </c>
    </row>
    <row r="822" spans="1:6" x14ac:dyDescent="0.25">
      <c r="A822">
        <v>32</v>
      </c>
      <c r="B822">
        <v>8</v>
      </c>
      <c r="C822">
        <v>206</v>
      </c>
      <c r="D822">
        <v>8</v>
      </c>
      <c r="E822">
        <v>2</v>
      </c>
      <c r="F822">
        <v>12</v>
      </c>
    </row>
    <row r="823" spans="1:6" x14ac:dyDescent="0.25">
      <c r="A823">
        <v>32</v>
      </c>
      <c r="B823">
        <v>9</v>
      </c>
      <c r="C823">
        <v>98</v>
      </c>
      <c r="D823">
        <v>8.1938770000000005</v>
      </c>
      <c r="E823">
        <v>2</v>
      </c>
      <c r="F823">
        <v>11</v>
      </c>
    </row>
    <row r="824" spans="1:6" x14ac:dyDescent="0.25">
      <c r="A824">
        <v>32</v>
      </c>
      <c r="B824">
        <v>10</v>
      </c>
      <c r="C824">
        <v>481</v>
      </c>
      <c r="D824">
        <v>9.0748440000000006</v>
      </c>
      <c r="E824">
        <v>2</v>
      </c>
      <c r="F824">
        <v>15</v>
      </c>
    </row>
    <row r="825" spans="1:6" x14ac:dyDescent="0.25">
      <c r="A825">
        <v>32</v>
      </c>
      <c r="B825">
        <v>11</v>
      </c>
      <c r="C825">
        <v>92</v>
      </c>
      <c r="D825">
        <v>8.1739130000000007</v>
      </c>
      <c r="E825">
        <v>3</v>
      </c>
      <c r="F825">
        <v>13</v>
      </c>
    </row>
    <row r="826" spans="1:6" x14ac:dyDescent="0.25">
      <c r="A826">
        <v>32</v>
      </c>
      <c r="B826">
        <v>12</v>
      </c>
      <c r="C826">
        <v>151</v>
      </c>
      <c r="D826">
        <v>8.2185430000000004</v>
      </c>
      <c r="E826">
        <v>2</v>
      </c>
      <c r="F826">
        <v>14</v>
      </c>
    </row>
    <row r="827" spans="1:6" x14ac:dyDescent="0.25">
      <c r="A827">
        <v>32</v>
      </c>
      <c r="B827">
        <v>13</v>
      </c>
      <c r="C827">
        <v>183</v>
      </c>
      <c r="D827">
        <v>9.1256830000000004</v>
      </c>
      <c r="E827">
        <v>2</v>
      </c>
      <c r="F827">
        <v>14</v>
      </c>
    </row>
    <row r="828" spans="1:6" x14ac:dyDescent="0.25">
      <c r="A828">
        <v>32</v>
      </c>
      <c r="B828">
        <v>14</v>
      </c>
      <c r="C828">
        <v>131</v>
      </c>
      <c r="D828">
        <v>7.8702290000000001</v>
      </c>
      <c r="E828">
        <v>2</v>
      </c>
      <c r="F828">
        <v>13</v>
      </c>
    </row>
    <row r="829" spans="1:6" x14ac:dyDescent="0.25">
      <c r="A829">
        <v>32</v>
      </c>
      <c r="B829">
        <v>15</v>
      </c>
      <c r="C829">
        <v>451</v>
      </c>
      <c r="D829">
        <v>9.1086469999999995</v>
      </c>
      <c r="E829">
        <v>2</v>
      </c>
      <c r="F829">
        <v>15</v>
      </c>
    </row>
    <row r="830" spans="1:6" x14ac:dyDescent="0.25">
      <c r="A830">
        <v>32</v>
      </c>
      <c r="B830">
        <v>16</v>
      </c>
      <c r="C830">
        <v>260</v>
      </c>
      <c r="D830">
        <v>7.8769229999999997</v>
      </c>
      <c r="E830">
        <v>2</v>
      </c>
      <c r="F830">
        <v>13</v>
      </c>
    </row>
    <row r="831" spans="1:6" x14ac:dyDescent="0.25">
      <c r="A831">
        <v>32</v>
      </c>
      <c r="B831">
        <v>17</v>
      </c>
      <c r="C831">
        <v>112</v>
      </c>
      <c r="D831">
        <v>8.8482140000000005</v>
      </c>
      <c r="E831">
        <v>2</v>
      </c>
      <c r="F831">
        <v>14</v>
      </c>
    </row>
    <row r="832" spans="1:6" x14ac:dyDescent="0.25">
      <c r="A832">
        <v>32</v>
      </c>
      <c r="B832">
        <v>18</v>
      </c>
      <c r="C832">
        <v>700</v>
      </c>
      <c r="D832">
        <v>9.1485710000000005</v>
      </c>
      <c r="E832">
        <v>2</v>
      </c>
      <c r="F832">
        <v>13</v>
      </c>
    </row>
    <row r="833" spans="1:6" x14ac:dyDescent="0.25">
      <c r="A833">
        <v>32</v>
      </c>
      <c r="B833">
        <v>19</v>
      </c>
      <c r="C833">
        <v>74</v>
      </c>
      <c r="D833">
        <v>8.9864859999999993</v>
      </c>
      <c r="E833">
        <v>3</v>
      </c>
      <c r="F833">
        <v>14</v>
      </c>
    </row>
    <row r="834" spans="1:6" x14ac:dyDescent="0.25">
      <c r="A834">
        <v>32</v>
      </c>
      <c r="B834">
        <v>20</v>
      </c>
      <c r="C834">
        <v>97</v>
      </c>
      <c r="D834">
        <v>8.907216</v>
      </c>
      <c r="E834">
        <v>3</v>
      </c>
      <c r="F834">
        <v>14</v>
      </c>
    </row>
    <row r="835" spans="1:6" x14ac:dyDescent="0.25">
      <c r="A835">
        <v>32</v>
      </c>
      <c r="B835">
        <v>21</v>
      </c>
      <c r="C835">
        <v>60</v>
      </c>
      <c r="D835">
        <v>7.6</v>
      </c>
      <c r="E835">
        <v>2</v>
      </c>
      <c r="F835">
        <v>12</v>
      </c>
    </row>
    <row r="836" spans="1:6" x14ac:dyDescent="0.25">
      <c r="A836">
        <v>32</v>
      </c>
      <c r="B836">
        <v>22</v>
      </c>
      <c r="C836">
        <v>248</v>
      </c>
      <c r="D836">
        <v>8.6733879999999992</v>
      </c>
      <c r="E836">
        <v>3</v>
      </c>
      <c r="F836">
        <v>13</v>
      </c>
    </row>
    <row r="837" spans="1:6" x14ac:dyDescent="0.25">
      <c r="A837">
        <v>32</v>
      </c>
      <c r="B837">
        <v>23</v>
      </c>
      <c r="C837">
        <v>33</v>
      </c>
      <c r="D837">
        <v>6.3030299999999997</v>
      </c>
      <c r="E837">
        <v>2</v>
      </c>
      <c r="F837">
        <v>11</v>
      </c>
    </row>
    <row r="838" spans="1:6" x14ac:dyDescent="0.25">
      <c r="A838">
        <v>32</v>
      </c>
      <c r="B838">
        <v>24</v>
      </c>
      <c r="C838">
        <v>141</v>
      </c>
      <c r="D838">
        <v>9.4539000000000009</v>
      </c>
      <c r="E838">
        <v>2</v>
      </c>
      <c r="F838">
        <v>15</v>
      </c>
    </row>
    <row r="839" spans="1:6" x14ac:dyDescent="0.25">
      <c r="A839">
        <v>32</v>
      </c>
      <c r="B839">
        <v>25</v>
      </c>
      <c r="C839">
        <v>25</v>
      </c>
      <c r="D839">
        <v>5.76</v>
      </c>
      <c r="E839">
        <v>2</v>
      </c>
      <c r="F839">
        <v>9</v>
      </c>
    </row>
    <row r="840" spans="1:6" x14ac:dyDescent="0.25">
      <c r="A840">
        <v>32</v>
      </c>
      <c r="B840">
        <v>26</v>
      </c>
      <c r="C840">
        <v>207</v>
      </c>
      <c r="D840">
        <v>10.565217000000001</v>
      </c>
      <c r="E840">
        <v>2</v>
      </c>
      <c r="F840">
        <v>17</v>
      </c>
    </row>
    <row r="841" spans="1:6" x14ac:dyDescent="0.25">
      <c r="A841">
        <v>32</v>
      </c>
      <c r="B841">
        <v>27</v>
      </c>
      <c r="C841">
        <v>367</v>
      </c>
      <c r="D841">
        <v>9.5040870000000002</v>
      </c>
      <c r="E841">
        <v>2</v>
      </c>
      <c r="F841">
        <v>15</v>
      </c>
    </row>
    <row r="842" spans="1:6" x14ac:dyDescent="0.25">
      <c r="A842">
        <v>32</v>
      </c>
      <c r="B842">
        <v>28</v>
      </c>
      <c r="C842">
        <v>83</v>
      </c>
      <c r="D842">
        <v>7.7951810000000004</v>
      </c>
      <c r="E842">
        <v>2</v>
      </c>
      <c r="F842">
        <v>14</v>
      </c>
    </row>
    <row r="843" spans="1:6" x14ac:dyDescent="0.25">
      <c r="A843">
        <v>32</v>
      </c>
      <c r="B843">
        <v>29</v>
      </c>
      <c r="C843">
        <v>112</v>
      </c>
      <c r="D843">
        <v>8.3303580000000004</v>
      </c>
      <c r="E843">
        <v>2</v>
      </c>
      <c r="F843">
        <v>14</v>
      </c>
    </row>
    <row r="844" spans="1:6" x14ac:dyDescent="0.25">
      <c r="A844">
        <v>33</v>
      </c>
      <c r="B844">
        <v>0</v>
      </c>
      <c r="C844">
        <v>144</v>
      </c>
      <c r="D844">
        <v>8.0763890000000007</v>
      </c>
      <c r="E844">
        <v>3</v>
      </c>
      <c r="F844">
        <v>14</v>
      </c>
    </row>
    <row r="845" spans="1:6" x14ac:dyDescent="0.25">
      <c r="A845">
        <v>33</v>
      </c>
      <c r="B845">
        <v>1</v>
      </c>
      <c r="C845">
        <v>371</v>
      </c>
      <c r="D845">
        <v>9.0619949999999996</v>
      </c>
      <c r="E845">
        <v>2</v>
      </c>
      <c r="F845">
        <v>14</v>
      </c>
    </row>
    <row r="846" spans="1:6" x14ac:dyDescent="0.25">
      <c r="A846">
        <v>33</v>
      </c>
      <c r="B846">
        <v>2</v>
      </c>
      <c r="C846">
        <v>146</v>
      </c>
      <c r="D846">
        <v>9.5</v>
      </c>
      <c r="E846">
        <v>2</v>
      </c>
      <c r="F846">
        <v>14</v>
      </c>
    </row>
    <row r="847" spans="1:6" x14ac:dyDescent="0.25">
      <c r="A847">
        <v>33</v>
      </c>
      <c r="B847">
        <v>3</v>
      </c>
      <c r="C847">
        <v>119</v>
      </c>
      <c r="D847">
        <v>6.2352939999999997</v>
      </c>
      <c r="E847">
        <v>2</v>
      </c>
      <c r="F847">
        <v>9</v>
      </c>
    </row>
    <row r="848" spans="1:6" x14ac:dyDescent="0.25">
      <c r="A848">
        <v>33</v>
      </c>
      <c r="B848">
        <v>4</v>
      </c>
      <c r="C848">
        <v>259</v>
      </c>
      <c r="D848">
        <v>10.868726000000001</v>
      </c>
      <c r="E848">
        <v>2</v>
      </c>
      <c r="F848">
        <v>18</v>
      </c>
    </row>
    <row r="849" spans="1:6" x14ac:dyDescent="0.25">
      <c r="A849">
        <v>33</v>
      </c>
      <c r="B849">
        <v>5</v>
      </c>
      <c r="C849">
        <v>242</v>
      </c>
      <c r="D849">
        <v>7.0289250000000001</v>
      </c>
      <c r="E849">
        <v>2</v>
      </c>
      <c r="F849">
        <v>10</v>
      </c>
    </row>
    <row r="850" spans="1:6" x14ac:dyDescent="0.25">
      <c r="A850">
        <v>33</v>
      </c>
      <c r="B850">
        <v>6</v>
      </c>
      <c r="C850">
        <v>41</v>
      </c>
      <c r="D850">
        <v>4.9268289999999997</v>
      </c>
      <c r="E850">
        <v>2</v>
      </c>
      <c r="F850">
        <v>7</v>
      </c>
    </row>
    <row r="851" spans="1:6" x14ac:dyDescent="0.25">
      <c r="A851">
        <v>33</v>
      </c>
      <c r="B851">
        <v>7</v>
      </c>
      <c r="C851">
        <v>216</v>
      </c>
      <c r="D851">
        <v>8.4537040000000001</v>
      </c>
      <c r="E851">
        <v>2</v>
      </c>
      <c r="F851">
        <v>13</v>
      </c>
    </row>
    <row r="852" spans="1:6" x14ac:dyDescent="0.25">
      <c r="A852">
        <v>33</v>
      </c>
      <c r="B852">
        <v>8</v>
      </c>
      <c r="C852">
        <v>427</v>
      </c>
      <c r="D852">
        <v>8.5878219999999992</v>
      </c>
      <c r="E852">
        <v>2</v>
      </c>
      <c r="F852">
        <v>13</v>
      </c>
    </row>
    <row r="853" spans="1:6" x14ac:dyDescent="0.25">
      <c r="A853">
        <v>33</v>
      </c>
      <c r="B853">
        <v>9</v>
      </c>
      <c r="C853">
        <v>112</v>
      </c>
      <c r="D853">
        <v>9.625</v>
      </c>
      <c r="E853">
        <v>2</v>
      </c>
      <c r="F853">
        <v>16</v>
      </c>
    </row>
    <row r="854" spans="1:6" x14ac:dyDescent="0.25">
      <c r="A854">
        <v>33</v>
      </c>
      <c r="B854">
        <v>10</v>
      </c>
      <c r="C854">
        <v>151</v>
      </c>
      <c r="D854">
        <v>10.046357</v>
      </c>
      <c r="E854">
        <v>3</v>
      </c>
      <c r="F854">
        <v>16</v>
      </c>
    </row>
    <row r="855" spans="1:6" x14ac:dyDescent="0.25">
      <c r="A855">
        <v>33</v>
      </c>
      <c r="B855">
        <v>11</v>
      </c>
      <c r="C855">
        <v>230</v>
      </c>
      <c r="D855">
        <v>8.8652169999999995</v>
      </c>
      <c r="E855">
        <v>2</v>
      </c>
      <c r="F855">
        <v>15</v>
      </c>
    </row>
    <row r="856" spans="1:6" x14ac:dyDescent="0.25">
      <c r="A856">
        <v>33</v>
      </c>
      <c r="B856">
        <v>12</v>
      </c>
      <c r="C856">
        <v>78</v>
      </c>
      <c r="D856">
        <v>8.8076930000000004</v>
      </c>
      <c r="E856">
        <v>2</v>
      </c>
      <c r="F856">
        <v>15</v>
      </c>
    </row>
    <row r="857" spans="1:6" x14ac:dyDescent="0.25">
      <c r="A857">
        <v>33</v>
      </c>
      <c r="B857">
        <v>13</v>
      </c>
      <c r="C857">
        <v>182</v>
      </c>
      <c r="D857">
        <v>11.049450999999999</v>
      </c>
      <c r="E857">
        <v>2</v>
      </c>
      <c r="F857">
        <v>15</v>
      </c>
    </row>
    <row r="858" spans="1:6" x14ac:dyDescent="0.25">
      <c r="A858">
        <v>33</v>
      </c>
      <c r="B858">
        <v>14</v>
      </c>
      <c r="C858">
        <v>297</v>
      </c>
      <c r="D858">
        <v>11.36027</v>
      </c>
      <c r="E858">
        <v>2</v>
      </c>
      <c r="F858">
        <v>16</v>
      </c>
    </row>
    <row r="859" spans="1:6" x14ac:dyDescent="0.25">
      <c r="A859">
        <v>33</v>
      </c>
      <c r="B859">
        <v>15</v>
      </c>
      <c r="C859">
        <v>64</v>
      </c>
      <c r="D859">
        <v>6.921875</v>
      </c>
      <c r="E859">
        <v>2</v>
      </c>
      <c r="F859">
        <v>12</v>
      </c>
    </row>
    <row r="860" spans="1:6" x14ac:dyDescent="0.25">
      <c r="A860">
        <v>33</v>
      </c>
      <c r="B860">
        <v>16</v>
      </c>
      <c r="C860">
        <v>55</v>
      </c>
      <c r="D860">
        <v>6.3636359999999996</v>
      </c>
      <c r="E860">
        <v>2</v>
      </c>
      <c r="F860">
        <v>10</v>
      </c>
    </row>
    <row r="861" spans="1:6" x14ac:dyDescent="0.25">
      <c r="A861">
        <v>33</v>
      </c>
      <c r="B861">
        <v>17</v>
      </c>
      <c r="C861">
        <v>411</v>
      </c>
      <c r="D861">
        <v>10.905108999999999</v>
      </c>
      <c r="E861">
        <v>3</v>
      </c>
      <c r="F861">
        <v>17</v>
      </c>
    </row>
    <row r="862" spans="1:6" x14ac:dyDescent="0.25">
      <c r="A862">
        <v>33</v>
      </c>
      <c r="B862">
        <v>18</v>
      </c>
      <c r="C862">
        <v>184</v>
      </c>
      <c r="D862">
        <v>6.6902169999999996</v>
      </c>
      <c r="E862">
        <v>2</v>
      </c>
      <c r="F862">
        <v>12</v>
      </c>
    </row>
    <row r="863" spans="1:6" x14ac:dyDescent="0.25">
      <c r="A863">
        <v>33</v>
      </c>
      <c r="B863">
        <v>19</v>
      </c>
      <c r="C863">
        <v>165</v>
      </c>
      <c r="D863">
        <v>9.2303029999999993</v>
      </c>
      <c r="E863">
        <v>2</v>
      </c>
      <c r="F863">
        <v>14</v>
      </c>
    </row>
    <row r="864" spans="1:6" x14ac:dyDescent="0.25">
      <c r="A864">
        <v>33</v>
      </c>
      <c r="B864">
        <v>20</v>
      </c>
      <c r="C864">
        <v>761</v>
      </c>
      <c r="D864">
        <v>12.102497</v>
      </c>
      <c r="E864">
        <v>3</v>
      </c>
      <c r="F864">
        <v>20</v>
      </c>
    </row>
    <row r="865" spans="1:6" x14ac:dyDescent="0.25">
      <c r="A865">
        <v>33</v>
      </c>
      <c r="B865">
        <v>21</v>
      </c>
      <c r="C865">
        <v>446</v>
      </c>
      <c r="D865">
        <v>10.786996</v>
      </c>
      <c r="E865">
        <v>2</v>
      </c>
      <c r="F865">
        <v>16</v>
      </c>
    </row>
    <row r="866" spans="1:6" x14ac:dyDescent="0.25">
      <c r="A866">
        <v>33</v>
      </c>
      <c r="B866">
        <v>22</v>
      </c>
      <c r="C866">
        <v>542</v>
      </c>
      <c r="D866">
        <v>10.743543000000001</v>
      </c>
      <c r="E866">
        <v>3</v>
      </c>
      <c r="F866">
        <v>17</v>
      </c>
    </row>
    <row r="867" spans="1:6" x14ac:dyDescent="0.25">
      <c r="A867">
        <v>33</v>
      </c>
      <c r="B867">
        <v>23</v>
      </c>
      <c r="C867">
        <v>37</v>
      </c>
      <c r="D867">
        <v>5.6756760000000002</v>
      </c>
      <c r="E867">
        <v>2</v>
      </c>
      <c r="F867">
        <v>8</v>
      </c>
    </row>
    <row r="868" spans="1:6" x14ac:dyDescent="0.25">
      <c r="A868">
        <v>33</v>
      </c>
      <c r="B868">
        <v>24</v>
      </c>
      <c r="C868">
        <v>201</v>
      </c>
      <c r="D868">
        <v>8.0796019999999995</v>
      </c>
      <c r="E868">
        <v>2</v>
      </c>
      <c r="F868">
        <v>13</v>
      </c>
    </row>
    <row r="869" spans="1:6" x14ac:dyDescent="0.25">
      <c r="A869">
        <v>33</v>
      </c>
      <c r="B869">
        <v>25</v>
      </c>
      <c r="C869">
        <v>102</v>
      </c>
      <c r="D869">
        <v>8.5882349999999992</v>
      </c>
      <c r="E869">
        <v>3</v>
      </c>
      <c r="F869">
        <v>14</v>
      </c>
    </row>
    <row r="870" spans="1:6" x14ac:dyDescent="0.25">
      <c r="A870">
        <v>33</v>
      </c>
      <c r="B870">
        <v>26</v>
      </c>
      <c r="C870">
        <v>413</v>
      </c>
      <c r="D870">
        <v>8.5544799999999999</v>
      </c>
      <c r="E870">
        <v>2</v>
      </c>
      <c r="F870">
        <v>14</v>
      </c>
    </row>
    <row r="871" spans="1:6" x14ac:dyDescent="0.25">
      <c r="A871">
        <v>33</v>
      </c>
      <c r="B871">
        <v>27</v>
      </c>
      <c r="C871">
        <v>1249</v>
      </c>
      <c r="D871">
        <v>10.179342999999999</v>
      </c>
      <c r="E871">
        <v>2</v>
      </c>
      <c r="F871">
        <v>15</v>
      </c>
    </row>
    <row r="872" spans="1:6" x14ac:dyDescent="0.25">
      <c r="A872">
        <v>33</v>
      </c>
      <c r="B872">
        <v>28</v>
      </c>
      <c r="C872">
        <v>426</v>
      </c>
      <c r="D872">
        <v>10.938967</v>
      </c>
      <c r="E872">
        <v>2</v>
      </c>
      <c r="F872">
        <v>16</v>
      </c>
    </row>
    <row r="873" spans="1:6" x14ac:dyDescent="0.25">
      <c r="A873">
        <v>33</v>
      </c>
      <c r="B873">
        <v>29</v>
      </c>
      <c r="C873">
        <v>139</v>
      </c>
      <c r="D873">
        <v>9.7985609999999994</v>
      </c>
      <c r="E873">
        <v>2</v>
      </c>
      <c r="F873">
        <v>14</v>
      </c>
    </row>
    <row r="874" spans="1:6" x14ac:dyDescent="0.25">
      <c r="A874">
        <v>34</v>
      </c>
      <c r="B874">
        <v>0</v>
      </c>
      <c r="C874">
        <v>533</v>
      </c>
      <c r="D874">
        <v>10.356472999999999</v>
      </c>
      <c r="E874">
        <v>2</v>
      </c>
      <c r="F874">
        <v>15</v>
      </c>
    </row>
    <row r="875" spans="1:6" x14ac:dyDescent="0.25">
      <c r="A875">
        <v>34</v>
      </c>
      <c r="B875">
        <v>1</v>
      </c>
      <c r="C875">
        <v>443</v>
      </c>
      <c r="D875">
        <v>10.41535</v>
      </c>
      <c r="E875">
        <v>2</v>
      </c>
      <c r="F875">
        <v>17</v>
      </c>
    </row>
    <row r="876" spans="1:6" x14ac:dyDescent="0.25">
      <c r="A876">
        <v>34</v>
      </c>
      <c r="B876">
        <v>2</v>
      </c>
      <c r="C876">
        <v>265</v>
      </c>
      <c r="D876">
        <v>8.1660380000000004</v>
      </c>
      <c r="E876">
        <v>2</v>
      </c>
      <c r="F876">
        <v>13</v>
      </c>
    </row>
    <row r="877" spans="1:6" x14ac:dyDescent="0.25">
      <c r="A877">
        <v>34</v>
      </c>
      <c r="B877">
        <v>3</v>
      </c>
      <c r="C877">
        <v>77</v>
      </c>
      <c r="D877">
        <v>8.0129870000000007</v>
      </c>
      <c r="E877">
        <v>2</v>
      </c>
      <c r="F877">
        <v>12</v>
      </c>
    </row>
    <row r="878" spans="1:6" x14ac:dyDescent="0.25">
      <c r="A878">
        <v>34</v>
      </c>
      <c r="B878">
        <v>4</v>
      </c>
      <c r="C878">
        <v>156</v>
      </c>
      <c r="D878">
        <v>8.9423069999999996</v>
      </c>
      <c r="E878">
        <v>2</v>
      </c>
      <c r="F878">
        <v>16</v>
      </c>
    </row>
    <row r="879" spans="1:6" x14ac:dyDescent="0.25">
      <c r="A879">
        <v>34</v>
      </c>
      <c r="B879">
        <v>5</v>
      </c>
      <c r="C879">
        <v>348</v>
      </c>
      <c r="D879">
        <v>10.091953999999999</v>
      </c>
      <c r="E879">
        <v>2</v>
      </c>
      <c r="F879">
        <v>16</v>
      </c>
    </row>
    <row r="880" spans="1:6" x14ac:dyDescent="0.25">
      <c r="A880">
        <v>34</v>
      </c>
      <c r="B880">
        <v>6</v>
      </c>
      <c r="C880">
        <v>30</v>
      </c>
      <c r="D880">
        <v>4.766667</v>
      </c>
      <c r="E880">
        <v>2</v>
      </c>
      <c r="F880">
        <v>8</v>
      </c>
    </row>
    <row r="881" spans="1:6" x14ac:dyDescent="0.25">
      <c r="A881">
        <v>34</v>
      </c>
      <c r="B881">
        <v>7</v>
      </c>
      <c r="C881">
        <v>489</v>
      </c>
      <c r="D881">
        <v>10.644171999999999</v>
      </c>
      <c r="E881">
        <v>2</v>
      </c>
      <c r="F881">
        <v>15</v>
      </c>
    </row>
    <row r="882" spans="1:6" x14ac:dyDescent="0.25">
      <c r="A882">
        <v>34</v>
      </c>
      <c r="B882">
        <v>8</v>
      </c>
      <c r="C882">
        <v>585</v>
      </c>
      <c r="D882">
        <v>13.176068000000001</v>
      </c>
      <c r="E882">
        <v>2</v>
      </c>
      <c r="F882">
        <v>19</v>
      </c>
    </row>
    <row r="883" spans="1:6" x14ac:dyDescent="0.25">
      <c r="A883">
        <v>34</v>
      </c>
      <c r="B883">
        <v>9</v>
      </c>
      <c r="C883">
        <v>207</v>
      </c>
      <c r="D883">
        <v>8.2318840000000009</v>
      </c>
      <c r="E883">
        <v>2</v>
      </c>
      <c r="F883">
        <v>12</v>
      </c>
    </row>
    <row r="884" spans="1:6" x14ac:dyDescent="0.25">
      <c r="A884">
        <v>34</v>
      </c>
      <c r="B884">
        <v>10</v>
      </c>
      <c r="C884">
        <v>138</v>
      </c>
      <c r="D884">
        <v>8.3768119999999993</v>
      </c>
      <c r="E884">
        <v>2</v>
      </c>
      <c r="F884">
        <v>13</v>
      </c>
    </row>
    <row r="885" spans="1:6" x14ac:dyDescent="0.25">
      <c r="A885">
        <v>34</v>
      </c>
      <c r="B885">
        <v>11</v>
      </c>
      <c r="C885">
        <v>487</v>
      </c>
      <c r="D885">
        <v>10.650924</v>
      </c>
      <c r="E885">
        <v>2</v>
      </c>
      <c r="F885">
        <v>17</v>
      </c>
    </row>
    <row r="886" spans="1:6" x14ac:dyDescent="0.25">
      <c r="A886">
        <v>34</v>
      </c>
      <c r="B886">
        <v>12</v>
      </c>
      <c r="C886">
        <v>176</v>
      </c>
      <c r="D886">
        <v>9.4034089999999999</v>
      </c>
      <c r="E886">
        <v>2</v>
      </c>
      <c r="F886">
        <v>16</v>
      </c>
    </row>
    <row r="887" spans="1:6" x14ac:dyDescent="0.25">
      <c r="A887">
        <v>34</v>
      </c>
      <c r="B887">
        <v>13</v>
      </c>
      <c r="C887">
        <v>188</v>
      </c>
      <c r="D887">
        <v>9.1063829999999992</v>
      </c>
      <c r="E887">
        <v>2</v>
      </c>
      <c r="F887">
        <v>14</v>
      </c>
    </row>
    <row r="888" spans="1:6" x14ac:dyDescent="0.25">
      <c r="A888">
        <v>34</v>
      </c>
      <c r="B888">
        <v>14</v>
      </c>
      <c r="C888">
        <v>360</v>
      </c>
      <c r="D888">
        <v>9.5222230000000003</v>
      </c>
      <c r="E888">
        <v>2</v>
      </c>
      <c r="F888">
        <v>16</v>
      </c>
    </row>
    <row r="889" spans="1:6" x14ac:dyDescent="0.25">
      <c r="A889">
        <v>34</v>
      </c>
      <c r="B889">
        <v>15</v>
      </c>
      <c r="C889">
        <v>93</v>
      </c>
      <c r="D889">
        <v>7.3440859999999999</v>
      </c>
      <c r="E889">
        <v>2</v>
      </c>
      <c r="F889">
        <v>11</v>
      </c>
    </row>
    <row r="890" spans="1:6" x14ac:dyDescent="0.25">
      <c r="A890">
        <v>34</v>
      </c>
      <c r="B890">
        <v>16</v>
      </c>
      <c r="C890">
        <v>901</v>
      </c>
      <c r="D890">
        <v>10.695893</v>
      </c>
      <c r="E890">
        <v>2</v>
      </c>
      <c r="F890">
        <v>15</v>
      </c>
    </row>
    <row r="891" spans="1:6" x14ac:dyDescent="0.25">
      <c r="A891">
        <v>34</v>
      </c>
      <c r="B891">
        <v>17</v>
      </c>
      <c r="C891">
        <v>483</v>
      </c>
      <c r="D891">
        <v>11.385092999999999</v>
      </c>
      <c r="E891">
        <v>2</v>
      </c>
      <c r="F891">
        <v>16</v>
      </c>
    </row>
    <row r="892" spans="1:6" x14ac:dyDescent="0.25">
      <c r="A892">
        <v>34</v>
      </c>
      <c r="B892">
        <v>18</v>
      </c>
      <c r="C892">
        <v>182</v>
      </c>
      <c r="D892">
        <v>10.736262999999999</v>
      </c>
      <c r="E892">
        <v>2</v>
      </c>
      <c r="F892">
        <v>15</v>
      </c>
    </row>
    <row r="893" spans="1:6" x14ac:dyDescent="0.25">
      <c r="A893">
        <v>34</v>
      </c>
      <c r="B893">
        <v>19</v>
      </c>
      <c r="C893">
        <v>64</v>
      </c>
      <c r="D893">
        <v>8.3125</v>
      </c>
      <c r="E893">
        <v>2</v>
      </c>
      <c r="F893">
        <v>14</v>
      </c>
    </row>
    <row r="894" spans="1:6" x14ac:dyDescent="0.25">
      <c r="A894">
        <v>34</v>
      </c>
      <c r="B894">
        <v>20</v>
      </c>
      <c r="C894">
        <v>156</v>
      </c>
      <c r="D894">
        <v>8.4615379999999991</v>
      </c>
      <c r="E894">
        <v>2</v>
      </c>
      <c r="F894">
        <v>12</v>
      </c>
    </row>
    <row r="895" spans="1:6" x14ac:dyDescent="0.25">
      <c r="A895">
        <v>34</v>
      </c>
      <c r="B895">
        <v>21</v>
      </c>
      <c r="C895">
        <v>272</v>
      </c>
      <c r="D895">
        <v>11.753676</v>
      </c>
      <c r="E895">
        <v>2</v>
      </c>
      <c r="F895">
        <v>17</v>
      </c>
    </row>
    <row r="896" spans="1:6" x14ac:dyDescent="0.25">
      <c r="A896">
        <v>34</v>
      </c>
      <c r="B896">
        <v>22</v>
      </c>
      <c r="C896">
        <v>216</v>
      </c>
      <c r="D896">
        <v>8.9074080000000002</v>
      </c>
      <c r="E896">
        <v>2</v>
      </c>
      <c r="F896">
        <v>16</v>
      </c>
    </row>
    <row r="897" spans="1:6" x14ac:dyDescent="0.25">
      <c r="A897">
        <v>34</v>
      </c>
      <c r="B897">
        <v>23</v>
      </c>
      <c r="C897">
        <v>339</v>
      </c>
      <c r="D897">
        <v>8.5044249999999995</v>
      </c>
      <c r="E897">
        <v>2</v>
      </c>
      <c r="F897">
        <v>14</v>
      </c>
    </row>
    <row r="898" spans="1:6" x14ac:dyDescent="0.25">
      <c r="A898">
        <v>34</v>
      </c>
      <c r="B898">
        <v>24</v>
      </c>
      <c r="C898">
        <v>102</v>
      </c>
      <c r="D898">
        <v>7.8921570000000001</v>
      </c>
      <c r="E898">
        <v>2</v>
      </c>
      <c r="F898">
        <v>14</v>
      </c>
    </row>
    <row r="899" spans="1:6" x14ac:dyDescent="0.25">
      <c r="A899">
        <v>34</v>
      </c>
      <c r="B899">
        <v>25</v>
      </c>
      <c r="C899">
        <v>80</v>
      </c>
      <c r="D899">
        <v>7.1875</v>
      </c>
      <c r="E899">
        <v>2</v>
      </c>
      <c r="F899">
        <v>12</v>
      </c>
    </row>
    <row r="900" spans="1:6" x14ac:dyDescent="0.25">
      <c r="A900">
        <v>34</v>
      </c>
      <c r="B900">
        <v>26</v>
      </c>
      <c r="C900">
        <v>485</v>
      </c>
      <c r="D900">
        <v>11.612371</v>
      </c>
      <c r="E900">
        <v>2</v>
      </c>
      <c r="F900">
        <v>17</v>
      </c>
    </row>
    <row r="901" spans="1:6" x14ac:dyDescent="0.25">
      <c r="A901">
        <v>34</v>
      </c>
      <c r="B901">
        <v>27</v>
      </c>
      <c r="C901">
        <v>291</v>
      </c>
      <c r="D901">
        <v>10.817869</v>
      </c>
      <c r="E901">
        <v>2</v>
      </c>
      <c r="F901">
        <v>17</v>
      </c>
    </row>
    <row r="902" spans="1:6" x14ac:dyDescent="0.25">
      <c r="A902">
        <v>34</v>
      </c>
      <c r="B902">
        <v>28</v>
      </c>
      <c r="C902">
        <v>179</v>
      </c>
      <c r="D902">
        <v>7.8324020000000001</v>
      </c>
      <c r="E902">
        <v>2</v>
      </c>
      <c r="F902">
        <v>13</v>
      </c>
    </row>
    <row r="903" spans="1:6" x14ac:dyDescent="0.25">
      <c r="A903">
        <v>34</v>
      </c>
      <c r="B903">
        <v>29</v>
      </c>
      <c r="C903">
        <v>417</v>
      </c>
      <c r="D903">
        <v>10.081534</v>
      </c>
      <c r="E903">
        <v>2</v>
      </c>
      <c r="F903">
        <v>16</v>
      </c>
    </row>
    <row r="904" spans="1:6" x14ac:dyDescent="0.25">
      <c r="A904">
        <v>35</v>
      </c>
      <c r="B904">
        <v>0</v>
      </c>
      <c r="C904">
        <v>834</v>
      </c>
      <c r="D904">
        <v>10.983212999999999</v>
      </c>
      <c r="E904">
        <v>2</v>
      </c>
      <c r="F904">
        <v>16</v>
      </c>
    </row>
    <row r="905" spans="1:6" x14ac:dyDescent="0.25">
      <c r="A905">
        <v>35</v>
      </c>
      <c r="B905">
        <v>1</v>
      </c>
      <c r="C905">
        <v>355</v>
      </c>
      <c r="D905">
        <v>9.1718309999999992</v>
      </c>
      <c r="E905">
        <v>2</v>
      </c>
      <c r="F905">
        <v>13</v>
      </c>
    </row>
    <row r="906" spans="1:6" x14ac:dyDescent="0.25">
      <c r="A906">
        <v>35</v>
      </c>
      <c r="B906">
        <v>2</v>
      </c>
      <c r="C906">
        <v>305</v>
      </c>
      <c r="D906">
        <v>10.550819000000001</v>
      </c>
      <c r="E906">
        <v>2</v>
      </c>
      <c r="F906">
        <v>15</v>
      </c>
    </row>
    <row r="907" spans="1:6" x14ac:dyDescent="0.25">
      <c r="A907">
        <v>35</v>
      </c>
      <c r="B907">
        <v>3</v>
      </c>
      <c r="C907">
        <v>95</v>
      </c>
      <c r="D907">
        <v>7.2421049999999996</v>
      </c>
      <c r="E907">
        <v>2</v>
      </c>
      <c r="F907">
        <v>11</v>
      </c>
    </row>
    <row r="908" spans="1:6" x14ac:dyDescent="0.25">
      <c r="A908">
        <v>35</v>
      </c>
      <c r="B908">
        <v>4</v>
      </c>
      <c r="C908">
        <v>272</v>
      </c>
      <c r="D908">
        <v>8.9705890000000004</v>
      </c>
      <c r="E908">
        <v>2</v>
      </c>
      <c r="F908">
        <v>16</v>
      </c>
    </row>
    <row r="909" spans="1:6" x14ac:dyDescent="0.25">
      <c r="A909">
        <v>35</v>
      </c>
      <c r="B909">
        <v>5</v>
      </c>
      <c r="C909">
        <v>235</v>
      </c>
      <c r="D909">
        <v>7.5063829999999996</v>
      </c>
      <c r="E909">
        <v>2</v>
      </c>
      <c r="F909">
        <v>12</v>
      </c>
    </row>
    <row r="910" spans="1:6" x14ac:dyDescent="0.25">
      <c r="A910">
        <v>35</v>
      </c>
      <c r="B910">
        <v>6</v>
      </c>
      <c r="C910">
        <v>543</v>
      </c>
      <c r="D910">
        <v>12.174954</v>
      </c>
      <c r="E910">
        <v>2</v>
      </c>
      <c r="F910">
        <v>19</v>
      </c>
    </row>
    <row r="911" spans="1:6" x14ac:dyDescent="0.25">
      <c r="A911">
        <v>35</v>
      </c>
      <c r="B911">
        <v>7</v>
      </c>
      <c r="C911">
        <v>223</v>
      </c>
      <c r="D911">
        <v>8.7130039999999997</v>
      </c>
      <c r="E911">
        <v>2</v>
      </c>
      <c r="F911">
        <v>15</v>
      </c>
    </row>
    <row r="912" spans="1:6" x14ac:dyDescent="0.25">
      <c r="A912">
        <v>35</v>
      </c>
      <c r="B912">
        <v>8</v>
      </c>
      <c r="C912">
        <v>129</v>
      </c>
      <c r="D912">
        <v>7.51938</v>
      </c>
      <c r="E912">
        <v>2</v>
      </c>
      <c r="F912">
        <v>11</v>
      </c>
    </row>
    <row r="913" spans="1:6" x14ac:dyDescent="0.25">
      <c r="A913">
        <v>35</v>
      </c>
      <c r="B913">
        <v>9</v>
      </c>
      <c r="C913">
        <v>148</v>
      </c>
      <c r="D913">
        <v>9.0608109999999993</v>
      </c>
      <c r="E913">
        <v>2</v>
      </c>
      <c r="F913">
        <v>15</v>
      </c>
    </row>
    <row r="914" spans="1:6" x14ac:dyDescent="0.25">
      <c r="A914">
        <v>35</v>
      </c>
      <c r="B914">
        <v>10</v>
      </c>
      <c r="C914">
        <v>305</v>
      </c>
      <c r="D914">
        <v>8.0754099999999998</v>
      </c>
      <c r="E914">
        <v>2</v>
      </c>
      <c r="F914">
        <v>14</v>
      </c>
    </row>
    <row r="915" spans="1:6" x14ac:dyDescent="0.25">
      <c r="A915">
        <v>35</v>
      </c>
      <c r="B915">
        <v>11</v>
      </c>
      <c r="C915">
        <v>246</v>
      </c>
      <c r="D915">
        <v>8.1626010000000004</v>
      </c>
      <c r="E915">
        <v>2</v>
      </c>
      <c r="F915">
        <v>13</v>
      </c>
    </row>
    <row r="916" spans="1:6" x14ac:dyDescent="0.25">
      <c r="A916">
        <v>35</v>
      </c>
      <c r="B916">
        <v>12</v>
      </c>
      <c r="C916">
        <v>580</v>
      </c>
      <c r="D916">
        <v>10.924137999999999</v>
      </c>
      <c r="E916">
        <v>2</v>
      </c>
      <c r="F916">
        <v>16</v>
      </c>
    </row>
    <row r="917" spans="1:6" x14ac:dyDescent="0.25">
      <c r="A917">
        <v>35</v>
      </c>
      <c r="B917">
        <v>13</v>
      </c>
      <c r="C917">
        <v>75</v>
      </c>
      <c r="D917">
        <v>10.813333999999999</v>
      </c>
      <c r="E917">
        <v>2</v>
      </c>
      <c r="F917">
        <v>18</v>
      </c>
    </row>
    <row r="918" spans="1:6" x14ac:dyDescent="0.25">
      <c r="A918">
        <v>35</v>
      </c>
      <c r="B918">
        <v>14</v>
      </c>
      <c r="C918">
        <v>207</v>
      </c>
      <c r="D918">
        <v>11.835749</v>
      </c>
      <c r="E918">
        <v>2</v>
      </c>
      <c r="F918">
        <v>18</v>
      </c>
    </row>
    <row r="919" spans="1:6" x14ac:dyDescent="0.25">
      <c r="A919">
        <v>35</v>
      </c>
      <c r="B919">
        <v>15</v>
      </c>
      <c r="C919">
        <v>329</v>
      </c>
      <c r="D919">
        <v>8.7173250000000007</v>
      </c>
      <c r="E919">
        <v>2</v>
      </c>
      <c r="F919">
        <v>15</v>
      </c>
    </row>
    <row r="920" spans="1:6" x14ac:dyDescent="0.25">
      <c r="A920">
        <v>35</v>
      </c>
      <c r="B920">
        <v>16</v>
      </c>
      <c r="C920">
        <v>455</v>
      </c>
      <c r="D920">
        <v>10.208791</v>
      </c>
      <c r="E920">
        <v>2</v>
      </c>
      <c r="F920">
        <v>15</v>
      </c>
    </row>
    <row r="921" spans="1:6" x14ac:dyDescent="0.25">
      <c r="A921">
        <v>35</v>
      </c>
      <c r="B921">
        <v>17</v>
      </c>
      <c r="C921">
        <v>457</v>
      </c>
      <c r="D921">
        <v>9.5886209999999998</v>
      </c>
      <c r="E921">
        <v>2</v>
      </c>
      <c r="F921">
        <v>15</v>
      </c>
    </row>
    <row r="922" spans="1:6" x14ac:dyDescent="0.25">
      <c r="A922">
        <v>35</v>
      </c>
      <c r="B922">
        <v>18</v>
      </c>
      <c r="C922">
        <v>850</v>
      </c>
      <c r="D922">
        <v>10.488235</v>
      </c>
      <c r="E922">
        <v>2</v>
      </c>
      <c r="F922">
        <v>15</v>
      </c>
    </row>
    <row r="923" spans="1:6" x14ac:dyDescent="0.25">
      <c r="A923">
        <v>35</v>
      </c>
      <c r="B923">
        <v>19</v>
      </c>
      <c r="C923">
        <v>549</v>
      </c>
      <c r="D923">
        <v>10.249544999999999</v>
      </c>
      <c r="E923">
        <v>2</v>
      </c>
      <c r="F923">
        <v>16</v>
      </c>
    </row>
    <row r="924" spans="1:6" x14ac:dyDescent="0.25">
      <c r="A924">
        <v>35</v>
      </c>
      <c r="B924">
        <v>20</v>
      </c>
      <c r="C924">
        <v>385</v>
      </c>
      <c r="D924">
        <v>10.015584</v>
      </c>
      <c r="E924">
        <v>2</v>
      </c>
      <c r="F924">
        <v>15</v>
      </c>
    </row>
    <row r="925" spans="1:6" x14ac:dyDescent="0.25">
      <c r="A925">
        <v>35</v>
      </c>
      <c r="B925">
        <v>21</v>
      </c>
      <c r="C925">
        <v>117</v>
      </c>
      <c r="D925">
        <v>7.9829059999999998</v>
      </c>
      <c r="E925">
        <v>2</v>
      </c>
      <c r="F925">
        <v>11</v>
      </c>
    </row>
    <row r="926" spans="1:6" x14ac:dyDescent="0.25">
      <c r="A926">
        <v>35</v>
      </c>
      <c r="B926">
        <v>22</v>
      </c>
      <c r="C926">
        <v>375</v>
      </c>
      <c r="D926">
        <v>8.2026660000000007</v>
      </c>
      <c r="E926">
        <v>2</v>
      </c>
      <c r="F926">
        <v>13</v>
      </c>
    </row>
    <row r="927" spans="1:6" x14ac:dyDescent="0.25">
      <c r="A927">
        <v>35</v>
      </c>
      <c r="B927">
        <v>23</v>
      </c>
      <c r="C927">
        <v>1124</v>
      </c>
      <c r="D927">
        <v>10.679715</v>
      </c>
      <c r="E927">
        <v>2</v>
      </c>
      <c r="F927">
        <v>16</v>
      </c>
    </row>
    <row r="928" spans="1:6" x14ac:dyDescent="0.25">
      <c r="A928">
        <v>35</v>
      </c>
      <c r="B928">
        <v>24</v>
      </c>
      <c r="C928">
        <v>2275</v>
      </c>
      <c r="D928">
        <v>12.742857000000001</v>
      </c>
      <c r="E928">
        <v>2</v>
      </c>
      <c r="F928">
        <v>18</v>
      </c>
    </row>
    <row r="929" spans="1:6" x14ac:dyDescent="0.25">
      <c r="A929">
        <v>35</v>
      </c>
      <c r="B929">
        <v>25</v>
      </c>
      <c r="C929">
        <v>978</v>
      </c>
      <c r="D929">
        <v>11.054193</v>
      </c>
      <c r="E929">
        <v>2</v>
      </c>
      <c r="F929">
        <v>16</v>
      </c>
    </row>
    <row r="930" spans="1:6" x14ac:dyDescent="0.25">
      <c r="A930">
        <v>35</v>
      </c>
      <c r="B930">
        <v>26</v>
      </c>
      <c r="C930">
        <v>236</v>
      </c>
      <c r="D930">
        <v>8.2754239999999992</v>
      </c>
      <c r="E930">
        <v>2</v>
      </c>
      <c r="F930">
        <v>15</v>
      </c>
    </row>
    <row r="931" spans="1:6" x14ac:dyDescent="0.25">
      <c r="A931">
        <v>35</v>
      </c>
      <c r="B931">
        <v>27</v>
      </c>
      <c r="C931">
        <v>563</v>
      </c>
      <c r="D931">
        <v>9.7868560000000002</v>
      </c>
      <c r="E931">
        <v>2</v>
      </c>
      <c r="F931">
        <v>16</v>
      </c>
    </row>
    <row r="932" spans="1:6" x14ac:dyDescent="0.25">
      <c r="A932">
        <v>35</v>
      </c>
      <c r="B932">
        <v>28</v>
      </c>
      <c r="C932">
        <v>416</v>
      </c>
      <c r="D932">
        <v>9.2163459999999997</v>
      </c>
      <c r="E932">
        <v>2</v>
      </c>
      <c r="F932">
        <v>15</v>
      </c>
    </row>
    <row r="933" spans="1:6" x14ac:dyDescent="0.25">
      <c r="A933">
        <v>35</v>
      </c>
      <c r="B933">
        <v>29</v>
      </c>
      <c r="C933">
        <v>1247</v>
      </c>
      <c r="D933">
        <v>10.340016</v>
      </c>
      <c r="E933">
        <v>2</v>
      </c>
      <c r="F933">
        <v>14</v>
      </c>
    </row>
    <row r="934" spans="1:6" x14ac:dyDescent="0.25">
      <c r="A934">
        <v>36</v>
      </c>
      <c r="B934">
        <v>0</v>
      </c>
      <c r="C934">
        <v>536</v>
      </c>
      <c r="D934">
        <v>9.1492540000000009</v>
      </c>
      <c r="E934">
        <v>2</v>
      </c>
      <c r="F934">
        <v>15</v>
      </c>
    </row>
    <row r="935" spans="1:6" x14ac:dyDescent="0.25">
      <c r="A935">
        <v>36</v>
      </c>
      <c r="B935">
        <v>1</v>
      </c>
      <c r="C935">
        <v>770</v>
      </c>
      <c r="D935">
        <v>10.196104</v>
      </c>
      <c r="E935">
        <v>3</v>
      </c>
      <c r="F935">
        <v>17</v>
      </c>
    </row>
    <row r="936" spans="1:6" x14ac:dyDescent="0.25">
      <c r="A936">
        <v>36</v>
      </c>
      <c r="B936">
        <v>2</v>
      </c>
      <c r="C936">
        <v>1020</v>
      </c>
      <c r="D936">
        <v>11.17549</v>
      </c>
      <c r="E936">
        <v>2</v>
      </c>
      <c r="F936">
        <v>17</v>
      </c>
    </row>
    <row r="937" spans="1:6" x14ac:dyDescent="0.25">
      <c r="A937">
        <v>36</v>
      </c>
      <c r="B937">
        <v>3</v>
      </c>
      <c r="C937">
        <v>230</v>
      </c>
      <c r="D937">
        <v>11.03913</v>
      </c>
      <c r="E937">
        <v>2</v>
      </c>
      <c r="F937">
        <v>17</v>
      </c>
    </row>
    <row r="938" spans="1:6" x14ac:dyDescent="0.25">
      <c r="A938">
        <v>36</v>
      </c>
      <c r="B938">
        <v>4</v>
      </c>
      <c r="C938">
        <v>674</v>
      </c>
      <c r="D938">
        <v>9.9109789999999993</v>
      </c>
      <c r="E938">
        <v>2</v>
      </c>
      <c r="F938">
        <v>16</v>
      </c>
    </row>
    <row r="939" spans="1:6" x14ac:dyDescent="0.25">
      <c r="A939">
        <v>36</v>
      </c>
      <c r="B939">
        <v>5</v>
      </c>
      <c r="C939">
        <v>480</v>
      </c>
      <c r="D939">
        <v>11.391666000000001</v>
      </c>
      <c r="E939">
        <v>2</v>
      </c>
      <c r="F939">
        <v>16</v>
      </c>
    </row>
    <row r="940" spans="1:6" x14ac:dyDescent="0.25">
      <c r="A940">
        <v>36</v>
      </c>
      <c r="B940">
        <v>6</v>
      </c>
      <c r="C940">
        <v>381</v>
      </c>
      <c r="D940">
        <v>9.7060370000000002</v>
      </c>
      <c r="E940">
        <v>2</v>
      </c>
      <c r="F940">
        <v>15</v>
      </c>
    </row>
    <row r="941" spans="1:6" x14ac:dyDescent="0.25">
      <c r="A941">
        <v>36</v>
      </c>
      <c r="B941">
        <v>7</v>
      </c>
      <c r="C941">
        <v>241</v>
      </c>
      <c r="D941">
        <v>8.6182580000000009</v>
      </c>
      <c r="E941">
        <v>2</v>
      </c>
      <c r="F941">
        <v>14</v>
      </c>
    </row>
    <row r="942" spans="1:6" x14ac:dyDescent="0.25">
      <c r="A942">
        <v>36</v>
      </c>
      <c r="B942">
        <v>8</v>
      </c>
      <c r="C942">
        <v>484</v>
      </c>
      <c r="D942">
        <v>10.444215</v>
      </c>
      <c r="E942">
        <v>2</v>
      </c>
      <c r="F942">
        <v>15</v>
      </c>
    </row>
    <row r="943" spans="1:6" x14ac:dyDescent="0.25">
      <c r="A943">
        <v>36</v>
      </c>
      <c r="B943">
        <v>9</v>
      </c>
      <c r="C943">
        <v>994</v>
      </c>
      <c r="D943">
        <v>11.595573</v>
      </c>
      <c r="E943">
        <v>3</v>
      </c>
      <c r="F943">
        <v>20</v>
      </c>
    </row>
    <row r="944" spans="1:6" x14ac:dyDescent="0.25">
      <c r="A944">
        <v>36</v>
      </c>
      <c r="B944">
        <v>10</v>
      </c>
      <c r="C944">
        <v>1150</v>
      </c>
      <c r="D944">
        <v>12.570435</v>
      </c>
      <c r="E944">
        <v>2</v>
      </c>
      <c r="F944">
        <v>19</v>
      </c>
    </row>
    <row r="945" spans="1:6" x14ac:dyDescent="0.25">
      <c r="A945">
        <v>36</v>
      </c>
      <c r="B945">
        <v>11</v>
      </c>
      <c r="C945">
        <v>1494</v>
      </c>
      <c r="D945">
        <v>11.909637999999999</v>
      </c>
      <c r="E945">
        <v>2</v>
      </c>
      <c r="F945">
        <v>18</v>
      </c>
    </row>
    <row r="946" spans="1:6" x14ac:dyDescent="0.25">
      <c r="A946">
        <v>36</v>
      </c>
      <c r="B946">
        <v>12</v>
      </c>
      <c r="C946">
        <v>217</v>
      </c>
      <c r="D946">
        <v>8.8479259999999993</v>
      </c>
      <c r="E946">
        <v>2</v>
      </c>
      <c r="F946">
        <v>14</v>
      </c>
    </row>
    <row r="947" spans="1:6" x14ac:dyDescent="0.25">
      <c r="A947">
        <v>36</v>
      </c>
      <c r="B947">
        <v>13</v>
      </c>
      <c r="C947">
        <v>95</v>
      </c>
      <c r="D947">
        <v>7.6315790000000003</v>
      </c>
      <c r="E947">
        <v>2</v>
      </c>
      <c r="F947">
        <v>14</v>
      </c>
    </row>
    <row r="948" spans="1:6" x14ac:dyDescent="0.25">
      <c r="A948">
        <v>36</v>
      </c>
      <c r="B948">
        <v>14</v>
      </c>
      <c r="C948">
        <v>282</v>
      </c>
      <c r="D948">
        <v>9.3758870000000005</v>
      </c>
      <c r="E948">
        <v>2</v>
      </c>
      <c r="F948">
        <v>15</v>
      </c>
    </row>
    <row r="949" spans="1:6" x14ac:dyDescent="0.25">
      <c r="A949">
        <v>36</v>
      </c>
      <c r="B949">
        <v>15</v>
      </c>
      <c r="C949">
        <v>150</v>
      </c>
      <c r="D949">
        <v>7.806667</v>
      </c>
      <c r="E949">
        <v>2</v>
      </c>
      <c r="F949">
        <v>13</v>
      </c>
    </row>
    <row r="950" spans="1:6" x14ac:dyDescent="0.25">
      <c r="A950">
        <v>36</v>
      </c>
      <c r="B950">
        <v>16</v>
      </c>
      <c r="C950">
        <v>654</v>
      </c>
      <c r="D950">
        <v>11.623854</v>
      </c>
      <c r="E950">
        <v>2</v>
      </c>
      <c r="F950">
        <v>18</v>
      </c>
    </row>
    <row r="951" spans="1:6" x14ac:dyDescent="0.25">
      <c r="A951">
        <v>36</v>
      </c>
      <c r="B951">
        <v>17</v>
      </c>
      <c r="C951">
        <v>585</v>
      </c>
      <c r="D951">
        <v>10.145299</v>
      </c>
      <c r="E951">
        <v>2</v>
      </c>
      <c r="F951">
        <v>15</v>
      </c>
    </row>
    <row r="952" spans="1:6" x14ac:dyDescent="0.25">
      <c r="A952">
        <v>36</v>
      </c>
      <c r="B952">
        <v>18</v>
      </c>
      <c r="C952">
        <v>370</v>
      </c>
      <c r="D952">
        <v>11.243243</v>
      </c>
      <c r="E952">
        <v>2</v>
      </c>
      <c r="F952">
        <v>17</v>
      </c>
    </row>
    <row r="953" spans="1:6" x14ac:dyDescent="0.25">
      <c r="A953">
        <v>36</v>
      </c>
      <c r="B953">
        <v>19</v>
      </c>
      <c r="C953">
        <v>555</v>
      </c>
      <c r="D953">
        <v>9.3837829999999993</v>
      </c>
      <c r="E953">
        <v>2</v>
      </c>
      <c r="F953">
        <v>16</v>
      </c>
    </row>
    <row r="954" spans="1:6" x14ac:dyDescent="0.25">
      <c r="A954">
        <v>36</v>
      </c>
      <c r="B954">
        <v>20</v>
      </c>
      <c r="C954">
        <v>619</v>
      </c>
      <c r="D954">
        <v>8.7011310000000002</v>
      </c>
      <c r="E954">
        <v>2</v>
      </c>
      <c r="F954">
        <v>13</v>
      </c>
    </row>
    <row r="955" spans="1:6" x14ac:dyDescent="0.25">
      <c r="A955">
        <v>36</v>
      </c>
      <c r="B955">
        <v>21</v>
      </c>
      <c r="C955">
        <v>227</v>
      </c>
      <c r="D955">
        <v>7.9515419999999999</v>
      </c>
      <c r="E955">
        <v>2</v>
      </c>
      <c r="F955">
        <v>11</v>
      </c>
    </row>
    <row r="956" spans="1:6" x14ac:dyDescent="0.25">
      <c r="A956">
        <v>36</v>
      </c>
      <c r="B956">
        <v>22</v>
      </c>
      <c r="C956">
        <v>290</v>
      </c>
      <c r="D956">
        <v>9.7103450000000002</v>
      </c>
      <c r="E956">
        <v>2</v>
      </c>
      <c r="F956">
        <v>15</v>
      </c>
    </row>
    <row r="957" spans="1:6" x14ac:dyDescent="0.25">
      <c r="A957">
        <v>36</v>
      </c>
      <c r="B957">
        <v>23</v>
      </c>
      <c r="C957">
        <v>376</v>
      </c>
      <c r="D957">
        <v>11.284575</v>
      </c>
      <c r="E957">
        <v>2</v>
      </c>
      <c r="F957">
        <v>17</v>
      </c>
    </row>
    <row r="958" spans="1:6" x14ac:dyDescent="0.25">
      <c r="A958">
        <v>36</v>
      </c>
      <c r="B958">
        <v>24</v>
      </c>
      <c r="C958">
        <v>33</v>
      </c>
      <c r="D958">
        <v>5.2727269999999997</v>
      </c>
      <c r="E958">
        <v>2</v>
      </c>
      <c r="F958">
        <v>9</v>
      </c>
    </row>
    <row r="959" spans="1:6" x14ac:dyDescent="0.25">
      <c r="A959">
        <v>36</v>
      </c>
      <c r="B959">
        <v>25</v>
      </c>
      <c r="C959">
        <v>637</v>
      </c>
      <c r="D959">
        <v>9.7048660000000009</v>
      </c>
      <c r="E959">
        <v>2</v>
      </c>
      <c r="F959">
        <v>15</v>
      </c>
    </row>
    <row r="960" spans="1:6" x14ac:dyDescent="0.25">
      <c r="A960">
        <v>36</v>
      </c>
      <c r="B960">
        <v>26</v>
      </c>
      <c r="C960">
        <v>2009</v>
      </c>
      <c r="D960">
        <v>11.430065000000001</v>
      </c>
      <c r="E960">
        <v>2</v>
      </c>
      <c r="F960">
        <v>18</v>
      </c>
    </row>
    <row r="961" spans="1:6" x14ac:dyDescent="0.25">
      <c r="A961">
        <v>36</v>
      </c>
      <c r="B961">
        <v>27</v>
      </c>
      <c r="C961">
        <v>172</v>
      </c>
      <c r="D961">
        <v>10.569767000000001</v>
      </c>
      <c r="E961">
        <v>2</v>
      </c>
      <c r="F961">
        <v>20</v>
      </c>
    </row>
    <row r="962" spans="1:6" x14ac:dyDescent="0.25">
      <c r="A962">
        <v>36</v>
      </c>
      <c r="B962">
        <v>28</v>
      </c>
      <c r="C962">
        <v>327</v>
      </c>
      <c r="D962">
        <v>10.969419</v>
      </c>
      <c r="E962">
        <v>2</v>
      </c>
      <c r="F962">
        <v>17</v>
      </c>
    </row>
    <row r="963" spans="1:6" x14ac:dyDescent="0.25">
      <c r="A963">
        <v>36</v>
      </c>
      <c r="B963">
        <v>29</v>
      </c>
      <c r="C963">
        <v>825</v>
      </c>
      <c r="D963">
        <v>12.928485</v>
      </c>
      <c r="E963">
        <v>2</v>
      </c>
      <c r="F963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483"/>
  <sheetViews>
    <sheetView tabSelected="1" zoomScaleNormal="100" workbookViewId="0">
      <pane xSplit="2" ySplit="3" topLeftCell="C97" activePane="bottomRight" state="frozen"/>
      <selection pane="topRight" activeCell="C1" sqref="C1"/>
      <selection pane="bottomLeft" activeCell="A3" sqref="A3"/>
      <selection pane="bottomRight" activeCell="J45" sqref="J45"/>
    </sheetView>
  </sheetViews>
  <sheetFormatPr defaultRowHeight="15" x14ac:dyDescent="0.25"/>
  <cols>
    <col min="1" max="1" width="10.42578125" bestFit="1" customWidth="1"/>
    <col min="3" max="3" width="14.5703125" bestFit="1" customWidth="1"/>
    <col min="4" max="4" width="13.5703125" bestFit="1" customWidth="1"/>
    <col min="6" max="6" width="16.85546875" bestFit="1" customWidth="1"/>
    <col min="7" max="7" width="17.7109375" bestFit="1" customWidth="1"/>
    <col min="8" max="8" width="14" bestFit="1" customWidth="1"/>
    <col min="9" max="9" width="14.28515625" bestFit="1" customWidth="1"/>
    <col min="10" max="10" width="14.140625" customWidth="1"/>
    <col min="11" max="11" width="11" bestFit="1" customWidth="1"/>
    <col min="12" max="12" width="15.85546875" bestFit="1" customWidth="1"/>
    <col min="14" max="14" width="14.5703125" bestFit="1" customWidth="1"/>
    <col min="15" max="15" width="13.42578125" bestFit="1" customWidth="1"/>
    <col min="34" max="34" width="9.85546875" bestFit="1" customWidth="1"/>
    <col min="35" max="35" width="10.140625" bestFit="1" customWidth="1"/>
    <col min="36" max="36" width="10.7109375" bestFit="1" customWidth="1"/>
  </cols>
  <sheetData>
    <row r="1" spans="1:44" x14ac:dyDescent="0.25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 t="s">
        <v>34</v>
      </c>
      <c r="AL1" s="6"/>
      <c r="AM1" s="6"/>
      <c r="AN1" s="6"/>
      <c r="AO1" s="6"/>
      <c r="AP1" s="6"/>
      <c r="AQ1" s="6"/>
      <c r="AR1" s="6"/>
    </row>
    <row r="2" spans="1:44" x14ac:dyDescent="0.2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 t="s">
        <v>33</v>
      </c>
      <c r="S2" s="6"/>
      <c r="T2" s="6"/>
      <c r="U2" s="6" t="s">
        <v>34</v>
      </c>
      <c r="V2" s="6"/>
      <c r="W2" s="6"/>
      <c r="X2" s="6" t="s">
        <v>41</v>
      </c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 t="s">
        <v>35</v>
      </c>
      <c r="AL2" s="6" t="s">
        <v>35</v>
      </c>
      <c r="AM2" s="6" t="s">
        <v>35</v>
      </c>
      <c r="AN2" s="6" t="s">
        <v>41</v>
      </c>
      <c r="AO2" s="6" t="s">
        <v>36</v>
      </c>
      <c r="AP2" s="6"/>
      <c r="AQ2" s="6"/>
      <c r="AR2" s="6"/>
    </row>
    <row r="3" spans="1:44" x14ac:dyDescent="0.25">
      <c r="A3" s="6" t="s">
        <v>18</v>
      </c>
      <c r="B3" s="6" t="s">
        <v>1</v>
      </c>
      <c r="C3" s="6" t="s">
        <v>30</v>
      </c>
      <c r="D3" s="6" t="s">
        <v>31</v>
      </c>
      <c r="E3" s="6" t="s">
        <v>19</v>
      </c>
      <c r="F3" s="6" t="s">
        <v>20</v>
      </c>
      <c r="G3" s="6" t="s">
        <v>10</v>
      </c>
      <c r="H3" s="6" t="s">
        <v>21</v>
      </c>
      <c r="I3" s="6" t="s">
        <v>22</v>
      </c>
      <c r="J3" s="6" t="s">
        <v>23</v>
      </c>
      <c r="K3" s="6" t="s">
        <v>24</v>
      </c>
      <c r="L3" s="6" t="s">
        <v>25</v>
      </c>
      <c r="M3" s="6" t="s">
        <v>26</v>
      </c>
      <c r="N3" s="6" t="s">
        <v>37</v>
      </c>
      <c r="O3" s="6" t="s">
        <v>40</v>
      </c>
      <c r="P3" s="6" t="s">
        <v>39</v>
      </c>
      <c r="Q3" s="6"/>
      <c r="R3" s="6">
        <v>1</v>
      </c>
      <c r="S3" s="6">
        <v>2</v>
      </c>
      <c r="T3" s="6">
        <v>3</v>
      </c>
      <c r="U3" s="6">
        <v>1</v>
      </c>
      <c r="V3" s="6">
        <v>2</v>
      </c>
      <c r="W3" s="6">
        <v>3</v>
      </c>
      <c r="X3" s="6"/>
      <c r="Y3" s="6"/>
      <c r="Z3" s="6"/>
      <c r="AA3" s="6"/>
      <c r="AB3" s="6"/>
      <c r="AC3" s="6"/>
      <c r="AD3" s="6"/>
      <c r="AE3" s="6" t="s">
        <v>27</v>
      </c>
      <c r="AF3" s="6">
        <v>30</v>
      </c>
      <c r="AG3" s="6"/>
      <c r="AH3" s="6" t="s">
        <v>28</v>
      </c>
      <c r="AI3" s="6" t="s">
        <v>29</v>
      </c>
      <c r="AJ3" s="6" t="s">
        <v>32</v>
      </c>
      <c r="AK3" s="6">
        <v>1</v>
      </c>
      <c r="AL3" s="6">
        <v>2</v>
      </c>
      <c r="AM3" s="6">
        <v>3</v>
      </c>
      <c r="AN3" s="6"/>
      <c r="AO3" s="6" t="s">
        <v>38</v>
      </c>
      <c r="AP3" s="6" t="s">
        <v>42</v>
      </c>
      <c r="AQ3" s="6" t="s">
        <v>43</v>
      </c>
      <c r="AR3" s="6" t="s">
        <v>44</v>
      </c>
    </row>
    <row r="4" spans="1:44" x14ac:dyDescent="0.25">
      <c r="A4" s="8">
        <v>0</v>
      </c>
      <c r="B4" s="8">
        <v>0</v>
      </c>
      <c r="C4" s="8">
        <v>0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/>
      <c r="R4">
        <f t="shared" ref="R4:R5" si="0">IF(D4=1,1,0)</f>
        <v>0</v>
      </c>
      <c r="S4">
        <f t="shared" ref="S4:S5" si="1">IF(D4=2,1,0)</f>
        <v>0</v>
      </c>
      <c r="T4">
        <f t="shared" ref="T4:T5" si="2">IF(D4=3,1,0)</f>
        <v>0</v>
      </c>
      <c r="U4" t="str">
        <f t="shared" ref="U4:U67" si="3">IF(D4=1,E4,"")</f>
        <v/>
      </c>
      <c r="V4" t="str">
        <f t="shared" ref="V4:V67" si="4">IF(D4=2,E4,"")</f>
        <v/>
      </c>
      <c r="W4" t="str">
        <f t="shared" ref="W4:W67" si="5">IF(D4=3,E4,"")</f>
        <v/>
      </c>
      <c r="X4">
        <f>IF(M4&gt;0,1,0)</f>
        <v>0</v>
      </c>
      <c r="AH4">
        <v>4</v>
      </c>
      <c r="AI4">
        <f t="shared" ref="AI4:AI8" si="6">AH4+$AF$3-1</f>
        <v>33</v>
      </c>
      <c r="AJ4">
        <f t="shared" ref="AJ4:AJ7" ca="1" si="7">INDIRECT("A"&amp;AH4)</f>
        <v>0</v>
      </c>
      <c r="AK4" s="1" t="e">
        <f t="shared" ref="AK4:AK8" ca="1" si="8">SUM(INDIRECT("U"&amp;AH4&amp;":U"&amp;AI4))/SUM(INDIRECT("R"&amp;AH4&amp;":R"&amp;AI4))</f>
        <v>#DIV/0!</v>
      </c>
      <c r="AL4" s="1" t="e">
        <f t="shared" ref="AL4:AL7" ca="1" si="9">SUM(INDIRECT("V"&amp;AH4&amp;":V"&amp;AI4))/SUM(INDIRECT("S"&amp;AH4&amp;":S"&amp;AI4))</f>
        <v>#DIV/0!</v>
      </c>
      <c r="AM4" s="1" t="e">
        <f t="shared" ref="AM4:AM7" ca="1" si="10">SUM(INDIRECT("W"&amp;AH4&amp;":W"&amp;AI4))/SUM(INDIRECT("T"&amp;AH4&amp;":T"&amp;AI4))</f>
        <v>#DIV/0!</v>
      </c>
      <c r="AN4" s="7">
        <f ca="1">SUM(INDIRECT("X"&amp;AH4&amp;":X"&amp;AI4))/$AF$3</f>
        <v>0</v>
      </c>
      <c r="AO4" s="7" t="e">
        <f t="shared" ref="AO4:AO7" ca="1" si="11">SUM(INDIRECT("C"&amp;AH4&amp;":C"&amp;AI4))/100/SUM(INDIRECT("X"&amp;AH4&amp;":X"&amp;AI4))</f>
        <v>#DIV/0!</v>
      </c>
      <c r="AP4" s="7"/>
      <c r="AQ4" s="7"/>
      <c r="AR4" s="7"/>
    </row>
    <row r="5" spans="1:44" x14ac:dyDescent="0.25">
      <c r="A5" s="8">
        <v>0</v>
      </c>
      <c r="B5" s="8">
        <v>0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/>
      <c r="R5">
        <f t="shared" si="0"/>
        <v>0</v>
      </c>
      <c r="S5">
        <f t="shared" si="1"/>
        <v>0</v>
      </c>
      <c r="T5">
        <f t="shared" si="2"/>
        <v>0</v>
      </c>
      <c r="U5" t="str">
        <f t="shared" si="3"/>
        <v/>
      </c>
      <c r="V5" t="str">
        <f t="shared" si="4"/>
        <v/>
      </c>
      <c r="W5" t="str">
        <f t="shared" si="5"/>
        <v/>
      </c>
      <c r="X5">
        <f t="shared" ref="X5:X68" si="12">IF(M5&gt;0,1,0)</f>
        <v>0</v>
      </c>
      <c r="AH5">
        <f t="shared" ref="AH5:AH8" si="13">AI4+1</f>
        <v>34</v>
      </c>
      <c r="AI5">
        <f t="shared" si="6"/>
        <v>63</v>
      </c>
      <c r="AJ5">
        <f t="shared" ca="1" si="7"/>
        <v>21</v>
      </c>
      <c r="AK5" s="1">
        <f t="shared" ca="1" si="8"/>
        <v>134.70833333333334</v>
      </c>
      <c r="AL5" s="1" t="e">
        <f t="shared" ca="1" si="9"/>
        <v>#DIV/0!</v>
      </c>
      <c r="AM5" s="1">
        <f t="shared" ca="1" si="10"/>
        <v>5652.7666666666664</v>
      </c>
      <c r="AN5" s="7">
        <f t="shared" ref="AN5:AN19" ca="1" si="14">SUM(INDIRECT("X"&amp;AH5&amp;":X"&amp;AI5))/$AF$3</f>
        <v>0.8</v>
      </c>
      <c r="AO5" s="7">
        <f t="shared" ca="1" si="11"/>
        <v>0.82416666666666671</v>
      </c>
      <c r="AP5" s="7">
        <f ca="1">SUM(INDIRECT("R"&amp;AH5&amp;":R"&amp;AI5))/($AF$3-3)</f>
        <v>0.88888888888888884</v>
      </c>
      <c r="AQ5" s="7">
        <f ca="1">SUM(INDIRECT("S"&amp;AH5&amp;":S"&amp;AI5))/($AF$3-3)</f>
        <v>0</v>
      </c>
      <c r="AR5" s="7">
        <f ca="1">SUM(INDIRECT("T"&amp;AH5&amp;":T"&amp;AI5))/($AF$3-3)</f>
        <v>0.1111111111111111</v>
      </c>
    </row>
    <row r="6" spans="1:44" x14ac:dyDescent="0.25">
      <c r="A6" s="8">
        <v>0</v>
      </c>
      <c r="B6" s="8">
        <v>0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/>
      <c r="R6">
        <f t="shared" ref="R6:R69" si="15">IF(D6=1,1,0)</f>
        <v>0</v>
      </c>
      <c r="S6">
        <f t="shared" ref="S6:S69" si="16">IF(D6=2,1,0)</f>
        <v>0</v>
      </c>
      <c r="T6">
        <f t="shared" ref="T6:T69" si="17">IF(D6=3,1,0)</f>
        <v>0</v>
      </c>
      <c r="U6" t="str">
        <f t="shared" si="3"/>
        <v/>
      </c>
      <c r="V6" t="str">
        <f t="shared" si="4"/>
        <v/>
      </c>
      <c r="W6" t="str">
        <f t="shared" si="5"/>
        <v/>
      </c>
      <c r="X6">
        <f t="shared" si="12"/>
        <v>0</v>
      </c>
      <c r="AH6">
        <f t="shared" si="13"/>
        <v>64</v>
      </c>
      <c r="AI6">
        <f t="shared" si="6"/>
        <v>93</v>
      </c>
      <c r="AJ6">
        <f t="shared" ca="1" si="7"/>
        <v>22</v>
      </c>
      <c r="AK6" s="1">
        <f t="shared" ca="1" si="8"/>
        <v>34.149999999999991</v>
      </c>
      <c r="AL6" s="1">
        <f t="shared" ca="1" si="9"/>
        <v>511.84999999999997</v>
      </c>
      <c r="AM6" s="1">
        <f t="shared" ca="1" si="10"/>
        <v>12.2</v>
      </c>
      <c r="AN6" s="7">
        <f t="shared" ca="1" si="14"/>
        <v>0.93333333333333335</v>
      </c>
      <c r="AO6" s="7">
        <f t="shared" ca="1" si="11"/>
        <v>0.89249999999999996</v>
      </c>
      <c r="AP6" s="7">
        <f t="shared" ref="AP6:AP19" ca="1" si="18">SUM(INDIRECT("R"&amp;AH6&amp;":R"&amp;AI6))/$AF$3</f>
        <v>0.8666666666666667</v>
      </c>
      <c r="AQ6" s="7">
        <f t="shared" ref="AQ6:AQ19" ca="1" si="19">SUM(INDIRECT("S"&amp;AH6&amp;":S"&amp;AI6))/$AF$3</f>
        <v>6.6666666666666666E-2</v>
      </c>
      <c r="AR6" s="7">
        <f t="shared" ref="AR6:AR19" ca="1" si="20">SUM(INDIRECT("T"&amp;AH6&amp;":T"&amp;AI6))/$AF$3</f>
        <v>6.6666666666666666E-2</v>
      </c>
    </row>
    <row r="7" spans="1:44" x14ac:dyDescent="0.25">
      <c r="A7" s="8">
        <v>0</v>
      </c>
      <c r="B7" s="8">
        <v>0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/>
      <c r="R7">
        <f t="shared" si="15"/>
        <v>0</v>
      </c>
      <c r="S7">
        <f t="shared" si="16"/>
        <v>0</v>
      </c>
      <c r="T7">
        <f t="shared" si="17"/>
        <v>0</v>
      </c>
      <c r="U7" t="str">
        <f t="shared" si="3"/>
        <v/>
      </c>
      <c r="V7" t="str">
        <f t="shared" si="4"/>
        <v/>
      </c>
      <c r="W7" t="str">
        <f t="shared" si="5"/>
        <v/>
      </c>
      <c r="X7">
        <f t="shared" si="12"/>
        <v>0</v>
      </c>
      <c r="AH7">
        <f t="shared" si="13"/>
        <v>94</v>
      </c>
      <c r="AI7">
        <f t="shared" si="6"/>
        <v>123</v>
      </c>
      <c r="AJ7">
        <f t="shared" ca="1" si="7"/>
        <v>23</v>
      </c>
      <c r="AK7" s="1">
        <f t="shared" ca="1" si="8"/>
        <v>60.732000000000006</v>
      </c>
      <c r="AL7" s="1">
        <f t="shared" ca="1" si="9"/>
        <v>104.1</v>
      </c>
      <c r="AM7" s="1">
        <f t="shared" ca="1" si="10"/>
        <v>3657.15</v>
      </c>
      <c r="AN7" s="7">
        <f t="shared" ca="1" si="14"/>
        <v>0.9</v>
      </c>
      <c r="AO7" s="7">
        <f t="shared" ca="1" si="11"/>
        <v>0.89222222222222225</v>
      </c>
      <c r="AP7" s="7">
        <f t="shared" ca="1" si="18"/>
        <v>0.83333333333333337</v>
      </c>
      <c r="AQ7" s="7">
        <f t="shared" ca="1" si="19"/>
        <v>3.3333333333333333E-2</v>
      </c>
      <c r="AR7" s="7">
        <f t="shared" ca="1" si="20"/>
        <v>0.13333333333333333</v>
      </c>
    </row>
    <row r="8" spans="1:44" x14ac:dyDescent="0.25">
      <c r="A8" s="8">
        <v>0</v>
      </c>
      <c r="B8" s="8">
        <v>0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/>
      <c r="R8">
        <f t="shared" si="15"/>
        <v>0</v>
      </c>
      <c r="S8">
        <f t="shared" si="16"/>
        <v>0</v>
      </c>
      <c r="T8">
        <f t="shared" si="17"/>
        <v>0</v>
      </c>
      <c r="U8" t="str">
        <f t="shared" si="3"/>
        <v/>
      </c>
      <c r="V8" t="str">
        <f t="shared" si="4"/>
        <v/>
      </c>
      <c r="W8" t="str">
        <f t="shared" si="5"/>
        <v/>
      </c>
      <c r="X8">
        <f t="shared" si="12"/>
        <v>0</v>
      </c>
      <c r="AH8">
        <f t="shared" si="13"/>
        <v>124</v>
      </c>
      <c r="AI8">
        <f t="shared" si="6"/>
        <v>153</v>
      </c>
      <c r="AJ8">
        <f ca="1">INDIRECT("A"&amp;AH8)</f>
        <v>24</v>
      </c>
      <c r="AK8" s="1">
        <f t="shared" ca="1" si="8"/>
        <v>138.37407407407409</v>
      </c>
      <c r="AL8" s="1">
        <f ca="1">SUM(INDIRECT("V"&amp;AH8&amp;":V"&amp;AI8))/SUM(INDIRECT("S"&amp;AH8&amp;":S"&amp;AI8))</f>
        <v>81.25</v>
      </c>
      <c r="AM8" s="1">
        <f ca="1">SUM(INDIRECT("W"&amp;AH8&amp;":W"&amp;AI8))/SUM(INDIRECT("T"&amp;AH8&amp;":T"&amp;AI8))</f>
        <v>1170.2</v>
      </c>
      <c r="AN8" s="7">
        <f t="shared" ca="1" si="14"/>
        <v>1</v>
      </c>
      <c r="AO8" s="7">
        <f ca="1">SUM(INDIRECT("C"&amp;AH8&amp;":C"&amp;AI8))/100/SUM(INDIRECT("X"&amp;AH8&amp;":X"&amp;AI8))</f>
        <v>0.875</v>
      </c>
      <c r="AP8" s="7">
        <f t="shared" ca="1" si="18"/>
        <v>0.9</v>
      </c>
      <c r="AQ8" s="7">
        <f t="shared" ca="1" si="19"/>
        <v>6.6666666666666666E-2</v>
      </c>
      <c r="AR8" s="7">
        <f t="shared" ca="1" si="20"/>
        <v>3.3333333333333333E-2</v>
      </c>
    </row>
    <row r="9" spans="1:44" x14ac:dyDescent="0.25">
      <c r="A9" s="8">
        <v>0</v>
      </c>
      <c r="B9" s="8">
        <v>0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/>
      <c r="R9">
        <f t="shared" si="15"/>
        <v>0</v>
      </c>
      <c r="S9">
        <f t="shared" si="16"/>
        <v>0</v>
      </c>
      <c r="T9">
        <f t="shared" si="17"/>
        <v>0</v>
      </c>
      <c r="U9" t="str">
        <f t="shared" si="3"/>
        <v/>
      </c>
      <c r="V9" t="str">
        <f t="shared" si="4"/>
        <v/>
      </c>
      <c r="W9" t="str">
        <f t="shared" si="5"/>
        <v/>
      </c>
      <c r="X9">
        <f t="shared" si="12"/>
        <v>0</v>
      </c>
      <c r="AH9">
        <f>AI8+1</f>
        <v>154</v>
      </c>
      <c r="AI9">
        <f t="shared" ref="AI9:AI19" si="21">AH9+$AF$3-1</f>
        <v>183</v>
      </c>
      <c r="AJ9">
        <f t="shared" ref="AJ9:AJ19" ca="1" si="22">INDIRECT("A"&amp;AH9)</f>
        <v>25</v>
      </c>
      <c r="AK9" s="1">
        <f t="shared" ref="AK9:AK19" ca="1" si="23">SUM(INDIRECT("U"&amp;AH9&amp;":U"&amp;AI9))/SUM(INDIRECT("R"&amp;AH9&amp;":R"&amp;AI9))</f>
        <v>29.379166666666674</v>
      </c>
      <c r="AL9" s="1">
        <f t="shared" ref="AL9:AL19" ca="1" si="24">SUM(INDIRECT("V"&amp;AH9&amp;":V"&amp;AI9))/SUM(INDIRECT("S"&amp;AH9&amp;":S"&amp;AI9))</f>
        <v>64.900000000000006</v>
      </c>
      <c r="AM9" s="1">
        <f t="shared" ref="AM9:AM19" ca="1" si="25">SUM(INDIRECT("W"&amp;AH9&amp;":W"&amp;AI9))/SUM(INDIRECT("T"&amp;AH9&amp;":T"&amp;AI9))</f>
        <v>1052.75</v>
      </c>
      <c r="AN9" s="7">
        <f t="shared" ca="1" si="14"/>
        <v>1</v>
      </c>
      <c r="AO9" s="7">
        <f t="shared" ref="AO9:AO19" ca="1" si="26">SUM(INDIRECT("C"&amp;AH9&amp;":C"&amp;AI9))/100/SUM(INDIRECT("X"&amp;AH9&amp;":X"&amp;AI9))</f>
        <v>0.8876666666666666</v>
      </c>
      <c r="AP9" s="7">
        <f t="shared" ca="1" si="18"/>
        <v>0.8</v>
      </c>
      <c r="AQ9" s="7">
        <f t="shared" ca="1" si="19"/>
        <v>0.13333333333333333</v>
      </c>
      <c r="AR9" s="7">
        <f t="shared" ca="1" si="20"/>
        <v>6.6666666666666666E-2</v>
      </c>
    </row>
    <row r="10" spans="1:44" x14ac:dyDescent="0.25">
      <c r="A10" s="8">
        <v>0</v>
      </c>
      <c r="B10" s="8">
        <v>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/>
      <c r="R10">
        <f t="shared" si="15"/>
        <v>0</v>
      </c>
      <c r="S10">
        <f t="shared" si="16"/>
        <v>0</v>
      </c>
      <c r="T10">
        <f t="shared" si="17"/>
        <v>0</v>
      </c>
      <c r="U10" t="str">
        <f t="shared" si="3"/>
        <v/>
      </c>
      <c r="V10" t="str">
        <f t="shared" si="4"/>
        <v/>
      </c>
      <c r="W10" t="str">
        <f t="shared" si="5"/>
        <v/>
      </c>
      <c r="X10">
        <f t="shared" si="12"/>
        <v>0</v>
      </c>
      <c r="AH10">
        <f t="shared" ref="AH10:AH19" si="27">AI9+1</f>
        <v>184</v>
      </c>
      <c r="AI10">
        <f t="shared" si="21"/>
        <v>213</v>
      </c>
      <c r="AJ10">
        <f t="shared" ca="1" si="22"/>
        <v>26</v>
      </c>
      <c r="AK10" s="1">
        <f t="shared" ca="1" si="23"/>
        <v>45.2</v>
      </c>
      <c r="AL10" s="1">
        <f t="shared" ca="1" si="24"/>
        <v>91.35</v>
      </c>
      <c r="AM10" s="1">
        <f t="shared" ca="1" si="25"/>
        <v>1475.3</v>
      </c>
      <c r="AN10" s="7">
        <f t="shared" ca="1" si="14"/>
        <v>0.96666666666666667</v>
      </c>
      <c r="AO10" s="7">
        <f t="shared" ca="1" si="26"/>
        <v>0.94034482758620686</v>
      </c>
      <c r="AP10" s="7">
        <f t="shared" ca="1" si="18"/>
        <v>0.9</v>
      </c>
      <c r="AQ10" s="7">
        <f t="shared" ca="1" si="19"/>
        <v>6.6666666666666666E-2</v>
      </c>
      <c r="AR10" s="7">
        <f t="shared" ca="1" si="20"/>
        <v>3.3333333333333333E-2</v>
      </c>
    </row>
    <row r="11" spans="1:44" x14ac:dyDescent="0.25">
      <c r="A11" s="8">
        <v>0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/>
      <c r="R11">
        <f t="shared" si="15"/>
        <v>0</v>
      </c>
      <c r="S11">
        <f t="shared" si="16"/>
        <v>0</v>
      </c>
      <c r="T11">
        <f t="shared" si="17"/>
        <v>0</v>
      </c>
      <c r="U11" t="str">
        <f t="shared" si="3"/>
        <v/>
      </c>
      <c r="V11" t="str">
        <f t="shared" si="4"/>
        <v/>
      </c>
      <c r="W11" t="str">
        <f t="shared" si="5"/>
        <v/>
      </c>
      <c r="X11">
        <f t="shared" si="12"/>
        <v>0</v>
      </c>
      <c r="AH11">
        <f t="shared" si="27"/>
        <v>214</v>
      </c>
      <c r="AI11">
        <f t="shared" si="21"/>
        <v>243</v>
      </c>
      <c r="AJ11">
        <f t="shared" ca="1" si="22"/>
        <v>27</v>
      </c>
      <c r="AK11" s="1">
        <f t="shared" ca="1" si="23"/>
        <v>31.645833333333339</v>
      </c>
      <c r="AL11" s="1">
        <f t="shared" ca="1" si="24"/>
        <v>49.024999999999999</v>
      </c>
      <c r="AM11" s="1">
        <f t="shared" ca="1" si="25"/>
        <v>7928.5999999999995</v>
      </c>
      <c r="AN11" s="7">
        <f t="shared" ca="1" si="14"/>
        <v>0.96666666666666667</v>
      </c>
      <c r="AO11" s="7">
        <f t="shared" ca="1" si="26"/>
        <v>0.87206896551724133</v>
      </c>
      <c r="AP11" s="7">
        <f t="shared" ca="1" si="18"/>
        <v>0.8</v>
      </c>
      <c r="AQ11" s="7">
        <f t="shared" ca="1" si="19"/>
        <v>0.13333333333333333</v>
      </c>
      <c r="AR11" s="7">
        <f t="shared" ca="1" si="20"/>
        <v>6.6666666666666666E-2</v>
      </c>
    </row>
    <row r="12" spans="1:44" x14ac:dyDescent="0.25">
      <c r="A12" s="8">
        <v>0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/>
      <c r="R12">
        <f t="shared" si="15"/>
        <v>0</v>
      </c>
      <c r="S12">
        <f t="shared" si="16"/>
        <v>0</v>
      </c>
      <c r="T12">
        <f t="shared" si="17"/>
        <v>0</v>
      </c>
      <c r="U12" t="str">
        <f t="shared" si="3"/>
        <v/>
      </c>
      <c r="V12" t="str">
        <f t="shared" si="4"/>
        <v/>
      </c>
      <c r="W12" t="str">
        <f t="shared" si="5"/>
        <v/>
      </c>
      <c r="X12">
        <f t="shared" si="12"/>
        <v>0</v>
      </c>
      <c r="AH12">
        <f t="shared" si="27"/>
        <v>244</v>
      </c>
      <c r="AI12">
        <f t="shared" si="21"/>
        <v>273</v>
      </c>
      <c r="AJ12">
        <f t="shared" ca="1" si="22"/>
        <v>28</v>
      </c>
      <c r="AK12" s="1">
        <f t="shared" ca="1" si="23"/>
        <v>35.128571428571426</v>
      </c>
      <c r="AL12" s="1">
        <f t="shared" ca="1" si="24"/>
        <v>55.3</v>
      </c>
      <c r="AM12" s="1">
        <f t="shared" ca="1" si="25"/>
        <v>1010.3</v>
      </c>
      <c r="AN12" s="7">
        <f t="shared" ca="1" si="14"/>
        <v>1</v>
      </c>
      <c r="AO12" s="7">
        <f t="shared" ca="1" si="26"/>
        <v>0.93433333333333335</v>
      </c>
      <c r="AP12" s="7">
        <f t="shared" ca="1" si="18"/>
        <v>0.93333333333333335</v>
      </c>
      <c r="AQ12" s="7">
        <f t="shared" ca="1" si="19"/>
        <v>3.3333333333333333E-2</v>
      </c>
      <c r="AR12" s="7">
        <f t="shared" ca="1" si="20"/>
        <v>3.3333333333333333E-2</v>
      </c>
    </row>
    <row r="13" spans="1:44" x14ac:dyDescent="0.25">
      <c r="A13" s="8">
        <v>0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/>
      <c r="R13">
        <f t="shared" si="15"/>
        <v>0</v>
      </c>
      <c r="S13">
        <f t="shared" si="16"/>
        <v>0</v>
      </c>
      <c r="T13">
        <f t="shared" si="17"/>
        <v>0</v>
      </c>
      <c r="U13" t="str">
        <f t="shared" si="3"/>
        <v/>
      </c>
      <c r="V13" t="str">
        <f t="shared" si="4"/>
        <v/>
      </c>
      <c r="W13" t="str">
        <f t="shared" si="5"/>
        <v/>
      </c>
      <c r="X13">
        <f t="shared" si="12"/>
        <v>0</v>
      </c>
      <c r="AH13">
        <f t="shared" si="27"/>
        <v>274</v>
      </c>
      <c r="AI13">
        <f t="shared" si="21"/>
        <v>303</v>
      </c>
      <c r="AJ13">
        <f t="shared" ca="1" si="22"/>
        <v>29</v>
      </c>
      <c r="AK13" s="1">
        <f t="shared" ca="1" si="23"/>
        <v>40.170370370370364</v>
      </c>
      <c r="AL13" s="1">
        <f t="shared" ca="1" si="24"/>
        <v>106.3</v>
      </c>
      <c r="AM13" s="1">
        <f t="shared" ca="1" si="25"/>
        <v>819.1</v>
      </c>
      <c r="AN13" s="7">
        <f t="shared" ca="1" si="14"/>
        <v>1</v>
      </c>
      <c r="AO13" s="7">
        <f t="shared" ca="1" si="26"/>
        <v>0.92966666666666664</v>
      </c>
      <c r="AP13" s="7">
        <f t="shared" ca="1" si="18"/>
        <v>0.9</v>
      </c>
      <c r="AQ13" s="7">
        <f t="shared" ca="1" si="19"/>
        <v>3.3333333333333333E-2</v>
      </c>
      <c r="AR13" s="7">
        <f t="shared" ca="1" si="20"/>
        <v>6.6666666666666666E-2</v>
      </c>
    </row>
    <row r="14" spans="1:44" x14ac:dyDescent="0.25">
      <c r="A14" s="8">
        <v>0</v>
      </c>
      <c r="B14" s="8">
        <v>0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/>
      <c r="R14">
        <f t="shared" si="15"/>
        <v>0</v>
      </c>
      <c r="S14">
        <f t="shared" si="16"/>
        <v>0</v>
      </c>
      <c r="T14">
        <f t="shared" si="17"/>
        <v>0</v>
      </c>
      <c r="U14" t="str">
        <f t="shared" si="3"/>
        <v/>
      </c>
      <c r="V14" t="str">
        <f t="shared" si="4"/>
        <v/>
      </c>
      <c r="W14" t="str">
        <f t="shared" si="5"/>
        <v/>
      </c>
      <c r="X14">
        <f t="shared" si="12"/>
        <v>0</v>
      </c>
      <c r="AH14">
        <f t="shared" si="27"/>
        <v>304</v>
      </c>
      <c r="AI14">
        <f t="shared" si="21"/>
        <v>333</v>
      </c>
      <c r="AJ14">
        <f t="shared" ca="1" si="22"/>
        <v>30</v>
      </c>
      <c r="AK14" s="1">
        <f t="shared" ca="1" si="23"/>
        <v>36.672000000000004</v>
      </c>
      <c r="AL14" s="1">
        <f t="shared" ca="1" si="24"/>
        <v>55.150000000000006</v>
      </c>
      <c r="AM14" s="1">
        <f t="shared" ca="1" si="25"/>
        <v>973.29999999999984</v>
      </c>
      <c r="AN14" s="7">
        <f t="shared" ca="1" si="14"/>
        <v>1</v>
      </c>
      <c r="AO14" s="7">
        <f t="shared" ca="1" si="26"/>
        <v>0.86433333333333329</v>
      </c>
      <c r="AP14" s="7">
        <f t="shared" ca="1" si="18"/>
        <v>0.83333333333333337</v>
      </c>
      <c r="AQ14" s="7">
        <f t="shared" ca="1" si="19"/>
        <v>6.6666666666666666E-2</v>
      </c>
      <c r="AR14" s="7">
        <f t="shared" ca="1" si="20"/>
        <v>0.1</v>
      </c>
    </row>
    <row r="15" spans="1:44" x14ac:dyDescent="0.25">
      <c r="A15" s="8">
        <v>0</v>
      </c>
      <c r="B15" s="8">
        <v>0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/>
      <c r="R15">
        <f t="shared" si="15"/>
        <v>0</v>
      </c>
      <c r="S15">
        <f t="shared" si="16"/>
        <v>0</v>
      </c>
      <c r="T15">
        <f t="shared" si="17"/>
        <v>0</v>
      </c>
      <c r="U15" t="str">
        <f t="shared" si="3"/>
        <v/>
      </c>
      <c r="V15" t="str">
        <f t="shared" si="4"/>
        <v/>
      </c>
      <c r="W15" t="str">
        <f t="shared" si="5"/>
        <v/>
      </c>
      <c r="X15">
        <f t="shared" si="12"/>
        <v>0</v>
      </c>
      <c r="AH15">
        <f t="shared" si="27"/>
        <v>334</v>
      </c>
      <c r="AI15">
        <f t="shared" si="21"/>
        <v>363</v>
      </c>
      <c r="AJ15">
        <f t="shared" ca="1" si="22"/>
        <v>31</v>
      </c>
      <c r="AK15" s="1">
        <f t="shared" ca="1" si="23"/>
        <v>34.176000000000002</v>
      </c>
      <c r="AL15" s="1">
        <f t="shared" ca="1" si="24"/>
        <v>82.88</v>
      </c>
      <c r="AM15" s="1" t="e">
        <f t="shared" ca="1" si="25"/>
        <v>#DIV/0!</v>
      </c>
      <c r="AN15" s="7">
        <f t="shared" ca="1" si="14"/>
        <v>1</v>
      </c>
      <c r="AO15" s="7">
        <f t="shared" ca="1" si="26"/>
        <v>0.90866666666666673</v>
      </c>
      <c r="AP15" s="7">
        <f t="shared" ca="1" si="18"/>
        <v>0.83333333333333337</v>
      </c>
      <c r="AQ15" s="7">
        <f t="shared" ca="1" si="19"/>
        <v>0.16666666666666666</v>
      </c>
      <c r="AR15" s="7">
        <f t="shared" ca="1" si="20"/>
        <v>0</v>
      </c>
    </row>
    <row r="16" spans="1:44" x14ac:dyDescent="0.25">
      <c r="A16" s="8">
        <v>0</v>
      </c>
      <c r="B16" s="8">
        <v>0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/>
      <c r="R16">
        <f t="shared" si="15"/>
        <v>0</v>
      </c>
      <c r="S16">
        <f t="shared" si="16"/>
        <v>0</v>
      </c>
      <c r="T16">
        <f t="shared" si="17"/>
        <v>0</v>
      </c>
      <c r="U16" t="str">
        <f t="shared" si="3"/>
        <v/>
      </c>
      <c r="V16" t="str">
        <f t="shared" si="4"/>
        <v/>
      </c>
      <c r="W16" t="str">
        <f t="shared" si="5"/>
        <v/>
      </c>
      <c r="X16">
        <f t="shared" si="12"/>
        <v>0</v>
      </c>
      <c r="AH16">
        <f t="shared" si="27"/>
        <v>364</v>
      </c>
      <c r="AI16">
        <f t="shared" si="21"/>
        <v>393</v>
      </c>
      <c r="AJ16">
        <f t="shared" ca="1" si="22"/>
        <v>32</v>
      </c>
      <c r="AK16" s="1">
        <f t="shared" ca="1" si="23"/>
        <v>37.658620689655166</v>
      </c>
      <c r="AL16" s="1">
        <f t="shared" ca="1" si="24"/>
        <v>63.2</v>
      </c>
      <c r="AM16" s="1" t="e">
        <f t="shared" ca="1" si="25"/>
        <v>#DIV/0!</v>
      </c>
      <c r="AN16" s="7">
        <f t="shared" ca="1" si="14"/>
        <v>1</v>
      </c>
      <c r="AO16" s="7">
        <f t="shared" ca="1" si="26"/>
        <v>0.91300000000000003</v>
      </c>
      <c r="AP16" s="7">
        <f t="shared" ca="1" si="18"/>
        <v>0.96666666666666667</v>
      </c>
      <c r="AQ16" s="7">
        <f t="shared" ca="1" si="19"/>
        <v>3.3333333333333333E-2</v>
      </c>
      <c r="AR16" s="7">
        <f t="shared" ca="1" si="20"/>
        <v>0</v>
      </c>
    </row>
    <row r="17" spans="1:44" x14ac:dyDescent="0.25">
      <c r="A17" s="8">
        <v>0</v>
      </c>
      <c r="B17" s="8">
        <v>0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/>
      <c r="R17">
        <f t="shared" si="15"/>
        <v>0</v>
      </c>
      <c r="S17">
        <f t="shared" si="16"/>
        <v>0</v>
      </c>
      <c r="T17">
        <f t="shared" si="17"/>
        <v>0</v>
      </c>
      <c r="U17" t="str">
        <f t="shared" si="3"/>
        <v/>
      </c>
      <c r="V17" t="str">
        <f t="shared" si="4"/>
        <v/>
      </c>
      <c r="W17" t="str">
        <f t="shared" si="5"/>
        <v/>
      </c>
      <c r="X17">
        <f t="shared" si="12"/>
        <v>0</v>
      </c>
      <c r="AH17">
        <f t="shared" si="27"/>
        <v>394</v>
      </c>
      <c r="AI17">
        <f t="shared" si="21"/>
        <v>423</v>
      </c>
      <c r="AJ17">
        <f t="shared" ca="1" si="22"/>
        <v>33</v>
      </c>
      <c r="AK17" s="1">
        <f t="shared" ca="1" si="23"/>
        <v>37.357692307692304</v>
      </c>
      <c r="AL17" s="1">
        <f t="shared" ca="1" si="24"/>
        <v>77</v>
      </c>
      <c r="AM17" s="1">
        <f t="shared" ca="1" si="25"/>
        <v>1061</v>
      </c>
      <c r="AN17" s="7">
        <f t="shared" ca="1" si="14"/>
        <v>1</v>
      </c>
      <c r="AO17" s="7">
        <f t="shared" ca="1" si="26"/>
        <v>0.91966666666666663</v>
      </c>
      <c r="AP17" s="7">
        <f t="shared" ca="1" si="18"/>
        <v>0.8666666666666667</v>
      </c>
      <c r="AQ17" s="7">
        <f t="shared" ca="1" si="19"/>
        <v>6.6666666666666666E-2</v>
      </c>
      <c r="AR17" s="7">
        <f t="shared" ca="1" si="20"/>
        <v>6.6666666666666666E-2</v>
      </c>
    </row>
    <row r="18" spans="1:44" x14ac:dyDescent="0.25">
      <c r="A18" s="8">
        <v>0</v>
      </c>
      <c r="B18" s="8">
        <v>0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/>
      <c r="R18">
        <f t="shared" si="15"/>
        <v>0</v>
      </c>
      <c r="S18">
        <f t="shared" si="16"/>
        <v>0</v>
      </c>
      <c r="T18">
        <f t="shared" si="17"/>
        <v>0</v>
      </c>
      <c r="U18" t="str">
        <f t="shared" si="3"/>
        <v/>
      </c>
      <c r="V18" t="str">
        <f t="shared" si="4"/>
        <v/>
      </c>
      <c r="W18" t="str">
        <f t="shared" si="5"/>
        <v/>
      </c>
      <c r="X18">
        <f t="shared" si="12"/>
        <v>0</v>
      </c>
      <c r="AH18">
        <f t="shared" si="27"/>
        <v>424</v>
      </c>
      <c r="AI18">
        <f t="shared" si="21"/>
        <v>453</v>
      </c>
      <c r="AJ18">
        <f t="shared" ca="1" si="22"/>
        <v>34</v>
      </c>
      <c r="AK18" s="1">
        <f t="shared" ca="1" si="23"/>
        <v>38.464285714285708</v>
      </c>
      <c r="AL18" s="1">
        <f t="shared" ca="1" si="24"/>
        <v>89.8</v>
      </c>
      <c r="AM18" s="1" t="e">
        <f t="shared" ca="1" si="25"/>
        <v>#DIV/0!</v>
      </c>
      <c r="AN18" s="7">
        <f t="shared" ca="1" si="14"/>
        <v>1</v>
      </c>
      <c r="AO18" s="7">
        <f t="shared" ca="1" si="26"/>
        <v>0.94133333333333324</v>
      </c>
      <c r="AP18" s="7">
        <f t="shared" ca="1" si="18"/>
        <v>0.93333333333333335</v>
      </c>
      <c r="AQ18" s="7">
        <f t="shared" ca="1" si="19"/>
        <v>6.6666666666666666E-2</v>
      </c>
      <c r="AR18" s="7">
        <f t="shared" ca="1" si="20"/>
        <v>0</v>
      </c>
    </row>
    <row r="19" spans="1:44" x14ac:dyDescent="0.25">
      <c r="A19" s="8">
        <v>0</v>
      </c>
      <c r="B19" s="8">
        <v>0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/>
      <c r="R19">
        <f t="shared" si="15"/>
        <v>0</v>
      </c>
      <c r="S19">
        <f t="shared" si="16"/>
        <v>0</v>
      </c>
      <c r="T19">
        <f t="shared" si="17"/>
        <v>0</v>
      </c>
      <c r="U19" t="str">
        <f t="shared" si="3"/>
        <v/>
      </c>
      <c r="V19" t="str">
        <f t="shared" si="4"/>
        <v/>
      </c>
      <c r="W19" t="str">
        <f t="shared" si="5"/>
        <v/>
      </c>
      <c r="X19">
        <f t="shared" si="12"/>
        <v>0</v>
      </c>
      <c r="AH19">
        <f t="shared" si="27"/>
        <v>454</v>
      </c>
      <c r="AI19">
        <f t="shared" si="21"/>
        <v>483</v>
      </c>
      <c r="AJ19">
        <f t="shared" ca="1" si="22"/>
        <v>35</v>
      </c>
      <c r="AK19" s="1">
        <f t="shared" ca="1" si="23"/>
        <v>37.996153846153845</v>
      </c>
      <c r="AL19" s="1">
        <f t="shared" ca="1" si="24"/>
        <v>69.5</v>
      </c>
      <c r="AM19" s="1">
        <f t="shared" ca="1" si="25"/>
        <v>961.40000000000009</v>
      </c>
      <c r="AN19" s="7">
        <f t="shared" ca="1" si="14"/>
        <v>1</v>
      </c>
      <c r="AO19" s="7">
        <f t="shared" ca="1" si="26"/>
        <v>0.95733333333333326</v>
      </c>
      <c r="AP19" s="7">
        <f t="shared" ca="1" si="18"/>
        <v>0.8666666666666667</v>
      </c>
      <c r="AQ19" s="7">
        <f t="shared" ca="1" si="19"/>
        <v>6.6666666666666666E-2</v>
      </c>
      <c r="AR19" s="7">
        <f t="shared" ca="1" si="20"/>
        <v>6.6666666666666666E-2</v>
      </c>
    </row>
    <row r="20" spans="1:44" x14ac:dyDescent="0.25">
      <c r="A20" s="8">
        <v>0</v>
      </c>
      <c r="B20" s="8">
        <v>0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/>
      <c r="R20">
        <f t="shared" si="15"/>
        <v>0</v>
      </c>
      <c r="S20">
        <f t="shared" si="16"/>
        <v>0</v>
      </c>
      <c r="T20">
        <f t="shared" si="17"/>
        <v>0</v>
      </c>
      <c r="U20" t="str">
        <f t="shared" si="3"/>
        <v/>
      </c>
      <c r="V20" t="str">
        <f t="shared" si="4"/>
        <v/>
      </c>
      <c r="W20" t="str">
        <f t="shared" si="5"/>
        <v/>
      </c>
      <c r="X20">
        <f t="shared" si="12"/>
        <v>0</v>
      </c>
      <c r="AK20" s="1"/>
      <c r="AL20" s="1"/>
      <c r="AM20" s="1"/>
      <c r="AN20" s="1"/>
      <c r="AO20" s="7"/>
    </row>
    <row r="21" spans="1:44" x14ac:dyDescent="0.25">
      <c r="A21" s="8">
        <v>0</v>
      </c>
      <c r="B21" s="8">
        <v>0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/>
      <c r="R21">
        <f t="shared" si="15"/>
        <v>0</v>
      </c>
      <c r="S21">
        <f t="shared" si="16"/>
        <v>0</v>
      </c>
      <c r="T21">
        <f t="shared" si="17"/>
        <v>0</v>
      </c>
      <c r="U21" t="str">
        <f t="shared" si="3"/>
        <v/>
      </c>
      <c r="V21" t="str">
        <f t="shared" si="4"/>
        <v/>
      </c>
      <c r="W21" t="str">
        <f t="shared" si="5"/>
        <v/>
      </c>
      <c r="X21">
        <f t="shared" si="12"/>
        <v>0</v>
      </c>
      <c r="AK21" s="1"/>
      <c r="AL21" s="1"/>
      <c r="AM21" s="1"/>
      <c r="AN21" s="1"/>
      <c r="AO21" s="7"/>
    </row>
    <row r="22" spans="1:44" x14ac:dyDescent="0.25">
      <c r="A22" s="8">
        <v>0</v>
      </c>
      <c r="B22" s="8">
        <v>0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/>
      <c r="R22">
        <f t="shared" si="15"/>
        <v>0</v>
      </c>
      <c r="S22">
        <f t="shared" si="16"/>
        <v>0</v>
      </c>
      <c r="T22">
        <f t="shared" si="17"/>
        <v>0</v>
      </c>
      <c r="U22" t="str">
        <f t="shared" si="3"/>
        <v/>
      </c>
      <c r="V22" t="str">
        <f t="shared" si="4"/>
        <v/>
      </c>
      <c r="W22" t="str">
        <f t="shared" si="5"/>
        <v/>
      </c>
      <c r="X22">
        <f t="shared" si="12"/>
        <v>0</v>
      </c>
      <c r="AK22" s="1"/>
      <c r="AL22" s="1"/>
      <c r="AM22" s="1"/>
      <c r="AN22" s="1"/>
      <c r="AO22" s="7"/>
    </row>
    <row r="23" spans="1:44" x14ac:dyDescent="0.25">
      <c r="A23" s="8">
        <v>0</v>
      </c>
      <c r="B23" s="8">
        <v>0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/>
      <c r="R23">
        <f t="shared" si="15"/>
        <v>0</v>
      </c>
      <c r="S23">
        <f t="shared" si="16"/>
        <v>0</v>
      </c>
      <c r="T23">
        <f t="shared" si="17"/>
        <v>0</v>
      </c>
      <c r="U23" t="str">
        <f t="shared" si="3"/>
        <v/>
      </c>
      <c r="V23" t="str">
        <f t="shared" si="4"/>
        <v/>
      </c>
      <c r="W23" t="str">
        <f t="shared" si="5"/>
        <v/>
      </c>
      <c r="X23">
        <f t="shared" si="12"/>
        <v>0</v>
      </c>
      <c r="AK23" s="1"/>
      <c r="AL23" s="1"/>
      <c r="AM23" s="1"/>
      <c r="AN23" s="1"/>
      <c r="AO23" s="7"/>
    </row>
    <row r="24" spans="1:44" x14ac:dyDescent="0.25">
      <c r="A24" s="8">
        <v>0</v>
      </c>
      <c r="B24" s="8">
        <v>0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/>
      <c r="R24">
        <f t="shared" si="15"/>
        <v>0</v>
      </c>
      <c r="S24">
        <f t="shared" si="16"/>
        <v>0</v>
      </c>
      <c r="T24">
        <f t="shared" si="17"/>
        <v>0</v>
      </c>
      <c r="U24" t="str">
        <f t="shared" si="3"/>
        <v/>
      </c>
      <c r="V24" t="str">
        <f t="shared" si="4"/>
        <v/>
      </c>
      <c r="W24" t="str">
        <f t="shared" si="5"/>
        <v/>
      </c>
      <c r="X24">
        <f t="shared" si="12"/>
        <v>0</v>
      </c>
      <c r="AK24" s="1"/>
      <c r="AL24" s="1"/>
      <c r="AM24" s="1"/>
      <c r="AN24" s="1"/>
      <c r="AO24" s="7"/>
    </row>
    <row r="25" spans="1:44" x14ac:dyDescent="0.25">
      <c r="A25" s="8">
        <v>0</v>
      </c>
      <c r="B25" s="8">
        <v>0</v>
      </c>
      <c r="C25" s="8">
        <v>0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/>
      <c r="R25">
        <f t="shared" si="15"/>
        <v>0</v>
      </c>
      <c r="S25">
        <f t="shared" si="16"/>
        <v>0</v>
      </c>
      <c r="T25">
        <f t="shared" si="17"/>
        <v>0</v>
      </c>
      <c r="U25" t="str">
        <f t="shared" si="3"/>
        <v/>
      </c>
      <c r="V25" t="str">
        <f t="shared" si="4"/>
        <v/>
      </c>
      <c r="W25" t="str">
        <f t="shared" si="5"/>
        <v/>
      </c>
      <c r="X25">
        <f t="shared" si="12"/>
        <v>0</v>
      </c>
      <c r="AK25" s="1"/>
      <c r="AL25" s="1"/>
      <c r="AM25" s="1"/>
      <c r="AN25" s="1"/>
      <c r="AO25" s="7"/>
    </row>
    <row r="26" spans="1:44" x14ac:dyDescent="0.25">
      <c r="A26" s="8">
        <v>0</v>
      </c>
      <c r="B26" s="8">
        <v>0</v>
      </c>
      <c r="C26" s="8">
        <v>0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/>
      <c r="R26">
        <f t="shared" si="15"/>
        <v>0</v>
      </c>
      <c r="S26">
        <f t="shared" si="16"/>
        <v>0</v>
      </c>
      <c r="T26">
        <f t="shared" si="17"/>
        <v>0</v>
      </c>
      <c r="U26" t="str">
        <f t="shared" si="3"/>
        <v/>
      </c>
      <c r="V26" t="str">
        <f t="shared" si="4"/>
        <v/>
      </c>
      <c r="W26" t="str">
        <f t="shared" si="5"/>
        <v/>
      </c>
      <c r="X26">
        <f t="shared" si="12"/>
        <v>0</v>
      </c>
      <c r="AK26" s="1"/>
      <c r="AL26" s="1"/>
      <c r="AM26" s="1"/>
      <c r="AN26" s="1"/>
      <c r="AO26" s="7"/>
    </row>
    <row r="27" spans="1:44" x14ac:dyDescent="0.25">
      <c r="A27" s="8">
        <v>0</v>
      </c>
      <c r="B27" s="8">
        <v>0</v>
      </c>
      <c r="C27" s="8">
        <v>0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/>
      <c r="R27">
        <f t="shared" si="15"/>
        <v>0</v>
      </c>
      <c r="S27">
        <f t="shared" si="16"/>
        <v>0</v>
      </c>
      <c r="T27">
        <f t="shared" si="17"/>
        <v>0</v>
      </c>
      <c r="U27" t="str">
        <f t="shared" si="3"/>
        <v/>
      </c>
      <c r="V27" t="str">
        <f t="shared" si="4"/>
        <v/>
      </c>
      <c r="W27" t="str">
        <f t="shared" si="5"/>
        <v/>
      </c>
      <c r="X27">
        <f t="shared" si="12"/>
        <v>0</v>
      </c>
      <c r="AK27" s="1"/>
      <c r="AL27" s="1"/>
      <c r="AM27" s="1"/>
      <c r="AN27" s="1"/>
      <c r="AO27" s="7"/>
    </row>
    <row r="28" spans="1:44" x14ac:dyDescent="0.25">
      <c r="A28" s="8">
        <v>0</v>
      </c>
      <c r="B28" s="8">
        <v>0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/>
      <c r="R28">
        <f t="shared" si="15"/>
        <v>0</v>
      </c>
      <c r="S28">
        <f t="shared" si="16"/>
        <v>0</v>
      </c>
      <c r="T28">
        <f t="shared" si="17"/>
        <v>0</v>
      </c>
      <c r="U28" t="str">
        <f t="shared" si="3"/>
        <v/>
      </c>
      <c r="V28" t="str">
        <f t="shared" si="4"/>
        <v/>
      </c>
      <c r="W28" t="str">
        <f t="shared" si="5"/>
        <v/>
      </c>
      <c r="X28">
        <f t="shared" si="12"/>
        <v>0</v>
      </c>
      <c r="AK28" s="1"/>
      <c r="AL28" s="1"/>
      <c r="AM28" s="1"/>
      <c r="AN28" s="1"/>
      <c r="AO28" s="7"/>
    </row>
    <row r="29" spans="1:44" x14ac:dyDescent="0.25">
      <c r="A29" s="8">
        <v>0</v>
      </c>
      <c r="B29" s="8">
        <v>0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/>
      <c r="R29">
        <f t="shared" si="15"/>
        <v>0</v>
      </c>
      <c r="S29">
        <f t="shared" si="16"/>
        <v>0</v>
      </c>
      <c r="T29">
        <f t="shared" si="17"/>
        <v>0</v>
      </c>
      <c r="U29" t="str">
        <f t="shared" si="3"/>
        <v/>
      </c>
      <c r="V29" t="str">
        <f t="shared" si="4"/>
        <v/>
      </c>
      <c r="W29" t="str">
        <f t="shared" si="5"/>
        <v/>
      </c>
      <c r="X29">
        <f t="shared" si="12"/>
        <v>0</v>
      </c>
      <c r="AK29" s="1"/>
      <c r="AL29" s="1"/>
      <c r="AM29" s="1"/>
      <c r="AN29" s="1"/>
      <c r="AO29" s="7"/>
    </row>
    <row r="30" spans="1:44" x14ac:dyDescent="0.25">
      <c r="A30" s="8">
        <v>0</v>
      </c>
      <c r="B30" s="8">
        <v>0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/>
      <c r="R30">
        <f t="shared" si="15"/>
        <v>0</v>
      </c>
      <c r="S30">
        <f t="shared" si="16"/>
        <v>0</v>
      </c>
      <c r="T30">
        <f t="shared" si="17"/>
        <v>0</v>
      </c>
      <c r="U30" t="str">
        <f t="shared" si="3"/>
        <v/>
      </c>
      <c r="V30" t="str">
        <f t="shared" si="4"/>
        <v/>
      </c>
      <c r="W30" t="str">
        <f t="shared" si="5"/>
        <v/>
      </c>
      <c r="X30">
        <f t="shared" si="12"/>
        <v>0</v>
      </c>
      <c r="AK30" s="1"/>
      <c r="AL30" s="1"/>
      <c r="AM30" s="1"/>
      <c r="AN30" s="1"/>
      <c r="AO30" s="7"/>
    </row>
    <row r="31" spans="1:44" x14ac:dyDescent="0.25">
      <c r="A31" s="8">
        <v>0</v>
      </c>
      <c r="B31" s="8">
        <v>0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/>
      <c r="R31">
        <f t="shared" si="15"/>
        <v>0</v>
      </c>
      <c r="S31">
        <f t="shared" si="16"/>
        <v>0</v>
      </c>
      <c r="T31">
        <f t="shared" si="17"/>
        <v>0</v>
      </c>
      <c r="U31" t="str">
        <f t="shared" si="3"/>
        <v/>
      </c>
      <c r="V31" t="str">
        <f t="shared" si="4"/>
        <v/>
      </c>
      <c r="W31" t="str">
        <f t="shared" si="5"/>
        <v/>
      </c>
      <c r="X31">
        <f t="shared" si="12"/>
        <v>0</v>
      </c>
      <c r="AK31" s="1"/>
      <c r="AL31" s="1"/>
      <c r="AM31" s="1"/>
      <c r="AN31" s="1"/>
      <c r="AO31" s="7"/>
    </row>
    <row r="32" spans="1:44" x14ac:dyDescent="0.25">
      <c r="A32" s="8">
        <v>0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/>
      <c r="R32">
        <f t="shared" si="15"/>
        <v>0</v>
      </c>
      <c r="S32">
        <f t="shared" si="16"/>
        <v>0</v>
      </c>
      <c r="T32">
        <f t="shared" si="17"/>
        <v>0</v>
      </c>
      <c r="U32" t="str">
        <f t="shared" si="3"/>
        <v/>
      </c>
      <c r="V32" t="str">
        <f t="shared" si="4"/>
        <v/>
      </c>
      <c r="W32" t="str">
        <f t="shared" si="5"/>
        <v/>
      </c>
      <c r="X32">
        <f t="shared" si="12"/>
        <v>0</v>
      </c>
      <c r="AK32" s="1"/>
      <c r="AL32" s="1"/>
      <c r="AM32" s="1"/>
      <c r="AN32" s="1"/>
      <c r="AO32" s="7"/>
    </row>
    <row r="33" spans="1:41" x14ac:dyDescent="0.25">
      <c r="A33" s="8">
        <v>0</v>
      </c>
      <c r="B33" s="8">
        <v>0</v>
      </c>
      <c r="C33" s="8">
        <v>0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  <c r="O33" s="8">
        <v>0</v>
      </c>
      <c r="P33" s="8"/>
      <c r="R33">
        <f t="shared" si="15"/>
        <v>0</v>
      </c>
      <c r="S33">
        <f t="shared" si="16"/>
        <v>0</v>
      </c>
      <c r="T33">
        <f t="shared" si="17"/>
        <v>0</v>
      </c>
      <c r="U33" t="str">
        <f t="shared" si="3"/>
        <v/>
      </c>
      <c r="V33" t="str">
        <f t="shared" si="4"/>
        <v/>
      </c>
      <c r="W33" t="str">
        <f t="shared" si="5"/>
        <v/>
      </c>
      <c r="X33">
        <f t="shared" si="12"/>
        <v>0</v>
      </c>
      <c r="AK33" s="1"/>
      <c r="AL33" s="1"/>
      <c r="AM33" s="1"/>
      <c r="AN33" s="1"/>
      <c r="AO33" s="7"/>
    </row>
    <row r="34" spans="1:41" x14ac:dyDescent="0.25">
      <c r="A34" s="8">
        <v>21</v>
      </c>
      <c r="B34" s="8">
        <v>0</v>
      </c>
      <c r="C34" s="8">
        <v>0</v>
      </c>
      <c r="D34" s="8">
        <v>3</v>
      </c>
      <c r="E34" s="8">
        <v>11.1</v>
      </c>
      <c r="F34" s="8">
        <v>2</v>
      </c>
      <c r="G34" s="8">
        <v>2</v>
      </c>
      <c r="H34" s="8">
        <v>2</v>
      </c>
      <c r="I34" s="8">
        <v>2</v>
      </c>
      <c r="J34" s="8">
        <v>1535439360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/>
      <c r="R34">
        <f t="shared" si="15"/>
        <v>0</v>
      </c>
      <c r="S34">
        <f t="shared" si="16"/>
        <v>0</v>
      </c>
      <c r="T34">
        <f t="shared" si="17"/>
        <v>1</v>
      </c>
      <c r="U34" t="str">
        <f t="shared" si="3"/>
        <v/>
      </c>
      <c r="V34" t="str">
        <f t="shared" si="4"/>
        <v/>
      </c>
      <c r="W34">
        <f t="shared" si="5"/>
        <v>11.1</v>
      </c>
      <c r="X34">
        <f t="shared" si="12"/>
        <v>0</v>
      </c>
      <c r="AK34" s="1"/>
      <c r="AL34" s="1"/>
      <c r="AM34" s="1"/>
      <c r="AN34" s="1"/>
      <c r="AO34" s="7"/>
    </row>
    <row r="35" spans="1:41" x14ac:dyDescent="0.25">
      <c r="A35" s="8">
        <v>21</v>
      </c>
      <c r="B35" s="8">
        <v>1</v>
      </c>
      <c r="C35" s="8">
        <v>30</v>
      </c>
      <c r="D35" s="8">
        <v>1</v>
      </c>
      <c r="E35" s="8">
        <v>25.6</v>
      </c>
      <c r="F35" s="8">
        <v>63</v>
      </c>
      <c r="G35" s="8">
        <v>5.8</v>
      </c>
      <c r="H35" s="8">
        <v>3</v>
      </c>
      <c r="I35" s="8">
        <v>8</v>
      </c>
      <c r="J35" s="8">
        <v>54837120</v>
      </c>
      <c r="K35" s="8">
        <v>3124</v>
      </c>
      <c r="L35" s="8">
        <v>71</v>
      </c>
      <c r="M35" s="8">
        <v>1</v>
      </c>
      <c r="N35" s="8">
        <v>6</v>
      </c>
      <c r="O35" s="8">
        <v>11</v>
      </c>
      <c r="P35" s="8"/>
      <c r="R35">
        <f t="shared" si="15"/>
        <v>1</v>
      </c>
      <c r="S35">
        <f t="shared" si="16"/>
        <v>0</v>
      </c>
      <c r="T35">
        <f t="shared" si="17"/>
        <v>0</v>
      </c>
      <c r="U35">
        <f t="shared" si="3"/>
        <v>25.6</v>
      </c>
      <c r="V35" t="str">
        <f t="shared" si="4"/>
        <v/>
      </c>
      <c r="W35" t="str">
        <f t="shared" si="5"/>
        <v/>
      </c>
      <c r="X35">
        <f t="shared" si="12"/>
        <v>1</v>
      </c>
      <c r="AK35" s="1"/>
      <c r="AL35" s="1"/>
      <c r="AM35" s="1"/>
      <c r="AN35" s="1"/>
      <c r="AO35" s="7"/>
    </row>
    <row r="36" spans="1:41" x14ac:dyDescent="0.25">
      <c r="A36" s="8">
        <v>21</v>
      </c>
      <c r="B36" s="8">
        <v>2</v>
      </c>
      <c r="C36" s="8">
        <v>100</v>
      </c>
      <c r="D36" s="8">
        <v>1</v>
      </c>
      <c r="E36" s="8">
        <v>29.6</v>
      </c>
      <c r="F36" s="8">
        <v>20</v>
      </c>
      <c r="G36" s="8">
        <v>4.9000000000000004</v>
      </c>
      <c r="H36" s="8">
        <v>2</v>
      </c>
      <c r="I36" s="8">
        <v>7</v>
      </c>
      <c r="J36" s="8">
        <v>54837120</v>
      </c>
      <c r="K36" s="8">
        <v>89033</v>
      </c>
      <c r="L36" s="8">
        <v>2438</v>
      </c>
      <c r="M36" s="8">
        <v>8</v>
      </c>
      <c r="N36" s="8">
        <v>4</v>
      </c>
      <c r="O36" s="8">
        <v>10</v>
      </c>
      <c r="P36" s="8"/>
      <c r="R36">
        <f t="shared" si="15"/>
        <v>1</v>
      </c>
      <c r="S36">
        <f t="shared" si="16"/>
        <v>0</v>
      </c>
      <c r="T36">
        <f t="shared" si="17"/>
        <v>0</v>
      </c>
      <c r="U36">
        <f t="shared" si="3"/>
        <v>29.6</v>
      </c>
      <c r="V36" t="str">
        <f t="shared" si="4"/>
        <v/>
      </c>
      <c r="W36" t="str">
        <f t="shared" si="5"/>
        <v/>
      </c>
      <c r="X36">
        <f t="shared" si="12"/>
        <v>1</v>
      </c>
      <c r="AK36" s="1"/>
      <c r="AL36" s="1"/>
      <c r="AM36" s="1"/>
      <c r="AN36" s="1"/>
      <c r="AO36" s="7"/>
    </row>
    <row r="37" spans="1:41" x14ac:dyDescent="0.25">
      <c r="A37" s="8">
        <v>21</v>
      </c>
      <c r="B37" s="8">
        <v>3</v>
      </c>
      <c r="C37" s="8">
        <v>100</v>
      </c>
      <c r="D37" s="8">
        <v>1</v>
      </c>
      <c r="E37" s="8">
        <v>26.6</v>
      </c>
      <c r="F37" s="8">
        <v>18</v>
      </c>
      <c r="G37" s="8">
        <v>4.3</v>
      </c>
      <c r="H37" s="8">
        <v>2</v>
      </c>
      <c r="I37" s="8">
        <v>6</v>
      </c>
      <c r="J37" s="8">
        <v>54837120</v>
      </c>
      <c r="K37" s="8">
        <v>3406</v>
      </c>
      <c r="L37" s="8">
        <v>120</v>
      </c>
      <c r="M37" s="8">
        <v>2</v>
      </c>
      <c r="N37" s="8">
        <v>6</v>
      </c>
      <c r="O37" s="8">
        <v>10</v>
      </c>
      <c r="P37" s="8"/>
      <c r="R37">
        <f t="shared" si="15"/>
        <v>1</v>
      </c>
      <c r="S37">
        <f t="shared" si="16"/>
        <v>0</v>
      </c>
      <c r="T37">
        <f t="shared" si="17"/>
        <v>0</v>
      </c>
      <c r="U37">
        <f t="shared" si="3"/>
        <v>26.6</v>
      </c>
      <c r="V37" t="str">
        <f t="shared" si="4"/>
        <v/>
      </c>
      <c r="W37" t="str">
        <f t="shared" si="5"/>
        <v/>
      </c>
      <c r="X37">
        <f t="shared" si="12"/>
        <v>1</v>
      </c>
      <c r="AK37" s="1"/>
      <c r="AL37" s="1"/>
      <c r="AM37" s="1"/>
      <c r="AN37" s="1"/>
      <c r="AO37" s="7"/>
    </row>
    <row r="38" spans="1:41" x14ac:dyDescent="0.25">
      <c r="A38" s="8">
        <v>21</v>
      </c>
      <c r="B38" s="8">
        <v>4</v>
      </c>
      <c r="C38" s="8">
        <v>100</v>
      </c>
      <c r="D38" s="8">
        <v>1</v>
      </c>
      <c r="E38" s="8">
        <v>1276.8</v>
      </c>
      <c r="F38" s="8">
        <v>9</v>
      </c>
      <c r="G38" s="8">
        <v>5</v>
      </c>
      <c r="H38" s="8">
        <v>3</v>
      </c>
      <c r="I38" s="8">
        <v>6</v>
      </c>
      <c r="J38" s="8">
        <v>54837120</v>
      </c>
      <c r="K38" s="8">
        <v>17987538</v>
      </c>
      <c r="L38" s="8">
        <v>5169756</v>
      </c>
      <c r="M38" s="8">
        <v>6</v>
      </c>
      <c r="N38" s="8">
        <v>5</v>
      </c>
      <c r="O38" s="8">
        <v>10</v>
      </c>
      <c r="P38" s="8"/>
      <c r="R38">
        <f t="shared" si="15"/>
        <v>1</v>
      </c>
      <c r="S38">
        <f t="shared" si="16"/>
        <v>0</v>
      </c>
      <c r="T38">
        <f t="shared" si="17"/>
        <v>0</v>
      </c>
      <c r="U38">
        <f t="shared" si="3"/>
        <v>1276.8</v>
      </c>
      <c r="V38" t="str">
        <f t="shared" si="4"/>
        <v/>
      </c>
      <c r="W38" t="str">
        <f t="shared" si="5"/>
        <v/>
      </c>
      <c r="X38">
        <f t="shared" si="12"/>
        <v>1</v>
      </c>
      <c r="AK38" s="1"/>
      <c r="AL38" s="1"/>
      <c r="AM38" s="1"/>
      <c r="AN38" s="1"/>
      <c r="AO38" s="7"/>
    </row>
    <row r="39" spans="1:41" x14ac:dyDescent="0.25">
      <c r="A39" s="8">
        <v>21</v>
      </c>
      <c r="B39" s="8">
        <v>5</v>
      </c>
      <c r="C39" s="8">
        <v>100</v>
      </c>
      <c r="D39" s="8">
        <v>1</v>
      </c>
      <c r="E39" s="8">
        <v>16.2</v>
      </c>
      <c r="F39" s="8">
        <v>21</v>
      </c>
      <c r="G39" s="8">
        <v>3.6</v>
      </c>
      <c r="H39" s="8">
        <v>3</v>
      </c>
      <c r="I39" s="8">
        <v>4</v>
      </c>
      <c r="J39" s="8">
        <v>54837120</v>
      </c>
      <c r="K39" s="8">
        <v>81184</v>
      </c>
      <c r="L39" s="8">
        <v>29719</v>
      </c>
      <c r="M39" s="8">
        <v>2</v>
      </c>
      <c r="N39" s="8">
        <v>4</v>
      </c>
      <c r="O39" s="8">
        <v>10</v>
      </c>
      <c r="P39" s="8"/>
      <c r="R39">
        <f t="shared" si="15"/>
        <v>1</v>
      </c>
      <c r="S39">
        <f t="shared" si="16"/>
        <v>0</v>
      </c>
      <c r="T39">
        <f t="shared" si="17"/>
        <v>0</v>
      </c>
      <c r="U39">
        <f t="shared" si="3"/>
        <v>16.2</v>
      </c>
      <c r="V39" t="str">
        <f t="shared" si="4"/>
        <v/>
      </c>
      <c r="W39" t="str">
        <f t="shared" si="5"/>
        <v/>
      </c>
      <c r="X39">
        <f t="shared" si="12"/>
        <v>1</v>
      </c>
      <c r="AK39" s="1"/>
      <c r="AL39" s="1"/>
      <c r="AM39" s="1"/>
      <c r="AN39" s="1"/>
      <c r="AO39" s="7"/>
    </row>
    <row r="40" spans="1:41" x14ac:dyDescent="0.25">
      <c r="A40" s="8">
        <v>21</v>
      </c>
      <c r="B40" s="8">
        <v>6</v>
      </c>
      <c r="C40" s="8">
        <v>100</v>
      </c>
      <c r="D40" s="8">
        <v>1</v>
      </c>
      <c r="E40" s="8">
        <v>34.6</v>
      </c>
      <c r="F40" s="8">
        <v>18</v>
      </c>
      <c r="G40" s="8">
        <v>5.2</v>
      </c>
      <c r="H40" s="8">
        <v>2</v>
      </c>
      <c r="I40" s="8">
        <v>7</v>
      </c>
      <c r="J40" s="8">
        <v>54837120</v>
      </c>
      <c r="K40" s="8">
        <v>88814</v>
      </c>
      <c r="L40" s="8">
        <v>2362</v>
      </c>
      <c r="M40" s="8">
        <v>6</v>
      </c>
      <c r="N40" s="8">
        <v>5</v>
      </c>
      <c r="O40" s="8">
        <v>10</v>
      </c>
      <c r="P40" s="8"/>
      <c r="R40">
        <f t="shared" si="15"/>
        <v>1</v>
      </c>
      <c r="S40">
        <f t="shared" si="16"/>
        <v>0</v>
      </c>
      <c r="T40">
        <f t="shared" si="17"/>
        <v>0</v>
      </c>
      <c r="U40">
        <f t="shared" si="3"/>
        <v>34.6</v>
      </c>
      <c r="V40" t="str">
        <f t="shared" si="4"/>
        <v/>
      </c>
      <c r="W40" t="str">
        <f t="shared" si="5"/>
        <v/>
      </c>
      <c r="X40">
        <f t="shared" si="12"/>
        <v>1</v>
      </c>
      <c r="AK40" s="1"/>
      <c r="AL40" s="1"/>
      <c r="AM40" s="1"/>
      <c r="AN40" s="1"/>
      <c r="AO40" s="7"/>
    </row>
    <row r="41" spans="1:41" x14ac:dyDescent="0.25">
      <c r="A41" s="8">
        <v>21</v>
      </c>
      <c r="B41" s="8">
        <v>7</v>
      </c>
      <c r="C41" s="8">
        <v>91</v>
      </c>
      <c r="D41" s="8">
        <v>1</v>
      </c>
      <c r="E41" s="8">
        <v>112.2</v>
      </c>
      <c r="F41" s="8">
        <v>10</v>
      </c>
      <c r="G41" s="8">
        <v>2.6</v>
      </c>
      <c r="H41" s="8">
        <v>2</v>
      </c>
      <c r="I41" s="8">
        <v>3</v>
      </c>
      <c r="J41" s="8">
        <v>54837120</v>
      </c>
      <c r="K41" s="8">
        <v>1992546</v>
      </c>
      <c r="L41" s="8">
        <v>1570192</v>
      </c>
      <c r="M41" s="8">
        <v>7</v>
      </c>
      <c r="N41" s="8">
        <v>1</v>
      </c>
      <c r="O41" s="8">
        <v>9</v>
      </c>
      <c r="P41" s="8"/>
      <c r="R41">
        <f t="shared" si="15"/>
        <v>1</v>
      </c>
      <c r="S41">
        <f t="shared" si="16"/>
        <v>0</v>
      </c>
      <c r="T41">
        <f t="shared" si="17"/>
        <v>0</v>
      </c>
      <c r="U41">
        <f t="shared" si="3"/>
        <v>112.2</v>
      </c>
      <c r="V41" t="str">
        <f t="shared" si="4"/>
        <v/>
      </c>
      <c r="W41" t="str">
        <f t="shared" si="5"/>
        <v/>
      </c>
      <c r="X41">
        <f t="shared" si="12"/>
        <v>1</v>
      </c>
      <c r="AK41" s="1"/>
      <c r="AL41" s="1"/>
      <c r="AM41" s="1"/>
      <c r="AN41" s="1"/>
      <c r="AO41" s="7"/>
    </row>
    <row r="42" spans="1:41" x14ac:dyDescent="0.25">
      <c r="A42" s="8">
        <v>21</v>
      </c>
      <c r="B42" s="8">
        <v>8</v>
      </c>
      <c r="C42" s="8">
        <v>81</v>
      </c>
      <c r="D42" s="8">
        <v>1</v>
      </c>
      <c r="E42" s="8">
        <v>25.6</v>
      </c>
      <c r="F42" s="8">
        <v>34</v>
      </c>
      <c r="G42" s="8">
        <v>4.5999999999999996</v>
      </c>
      <c r="H42" s="8">
        <v>2</v>
      </c>
      <c r="I42" s="8">
        <v>6</v>
      </c>
      <c r="J42" s="8">
        <v>54837120</v>
      </c>
      <c r="K42" s="8">
        <v>3040</v>
      </c>
      <c r="L42" s="8">
        <v>252</v>
      </c>
      <c r="M42" s="8">
        <v>2</v>
      </c>
      <c r="N42" s="8">
        <v>4</v>
      </c>
      <c r="O42" s="8">
        <v>8</v>
      </c>
      <c r="P42" s="8"/>
      <c r="R42">
        <f t="shared" si="15"/>
        <v>1</v>
      </c>
      <c r="S42">
        <f t="shared" si="16"/>
        <v>0</v>
      </c>
      <c r="T42">
        <f t="shared" si="17"/>
        <v>0</v>
      </c>
      <c r="U42">
        <f t="shared" si="3"/>
        <v>25.6</v>
      </c>
      <c r="V42" t="str">
        <f t="shared" si="4"/>
        <v/>
      </c>
      <c r="W42" t="str">
        <f t="shared" si="5"/>
        <v/>
      </c>
      <c r="X42">
        <f t="shared" si="12"/>
        <v>1</v>
      </c>
      <c r="AK42" s="1"/>
      <c r="AL42" s="1"/>
      <c r="AM42" s="1"/>
      <c r="AN42" s="1"/>
      <c r="AO42" s="7"/>
    </row>
    <row r="43" spans="1:41" x14ac:dyDescent="0.25">
      <c r="A43" s="8">
        <v>21</v>
      </c>
      <c r="B43" s="8">
        <v>9</v>
      </c>
      <c r="C43" s="8">
        <v>81</v>
      </c>
      <c r="D43" s="8">
        <v>1</v>
      </c>
      <c r="E43" s="8">
        <v>11.2</v>
      </c>
      <c r="F43" s="8">
        <v>12</v>
      </c>
      <c r="G43" s="8">
        <v>2.5</v>
      </c>
      <c r="H43" s="8">
        <v>2</v>
      </c>
      <c r="I43" s="8">
        <v>3</v>
      </c>
      <c r="J43" s="8">
        <v>54837120</v>
      </c>
      <c r="K43" s="8">
        <v>89504</v>
      </c>
      <c r="L43" s="8">
        <v>50378</v>
      </c>
      <c r="M43" s="8">
        <v>1</v>
      </c>
      <c r="N43" s="8">
        <v>3</v>
      </c>
      <c r="O43" s="8">
        <v>10</v>
      </c>
      <c r="P43" s="8"/>
      <c r="R43">
        <f t="shared" si="15"/>
        <v>1</v>
      </c>
      <c r="S43">
        <f t="shared" si="16"/>
        <v>0</v>
      </c>
      <c r="T43">
        <f t="shared" si="17"/>
        <v>0</v>
      </c>
      <c r="U43">
        <f t="shared" si="3"/>
        <v>11.2</v>
      </c>
      <c r="V43" t="str">
        <f t="shared" si="4"/>
        <v/>
      </c>
      <c r="W43" t="str">
        <f t="shared" si="5"/>
        <v/>
      </c>
      <c r="X43">
        <f t="shared" si="12"/>
        <v>1</v>
      </c>
      <c r="AK43" s="1"/>
      <c r="AL43" s="1"/>
      <c r="AM43" s="1"/>
      <c r="AN43" s="1"/>
      <c r="AO43" s="7"/>
    </row>
    <row r="44" spans="1:41" x14ac:dyDescent="0.25">
      <c r="A44" s="8">
        <v>21</v>
      </c>
      <c r="B44" s="8">
        <v>10</v>
      </c>
      <c r="C44" s="8">
        <v>93</v>
      </c>
      <c r="D44" s="8">
        <v>1</v>
      </c>
      <c r="E44" s="8">
        <v>23.4</v>
      </c>
      <c r="F44" s="8">
        <v>28</v>
      </c>
      <c r="G44" s="8">
        <v>4.9000000000000004</v>
      </c>
      <c r="H44" s="8">
        <v>3</v>
      </c>
      <c r="I44" s="8">
        <v>6</v>
      </c>
      <c r="J44" s="8">
        <v>54837120</v>
      </c>
      <c r="K44" s="8">
        <v>2918</v>
      </c>
      <c r="L44" s="8">
        <v>4</v>
      </c>
      <c r="M44" s="8">
        <v>2</v>
      </c>
      <c r="N44" s="8">
        <v>7</v>
      </c>
      <c r="O44" s="8">
        <v>9</v>
      </c>
      <c r="P44" s="8"/>
      <c r="R44">
        <f t="shared" si="15"/>
        <v>1</v>
      </c>
      <c r="S44">
        <f t="shared" si="16"/>
        <v>0</v>
      </c>
      <c r="T44">
        <f t="shared" si="17"/>
        <v>0</v>
      </c>
      <c r="U44">
        <f t="shared" si="3"/>
        <v>23.4</v>
      </c>
      <c r="V44" t="str">
        <f t="shared" si="4"/>
        <v/>
      </c>
      <c r="W44" t="str">
        <f t="shared" si="5"/>
        <v/>
      </c>
      <c r="X44">
        <f t="shared" si="12"/>
        <v>1</v>
      </c>
      <c r="AK44" s="1"/>
      <c r="AL44" s="1"/>
      <c r="AM44" s="1"/>
      <c r="AN44" s="1"/>
      <c r="AO44" s="7"/>
    </row>
    <row r="45" spans="1:41" x14ac:dyDescent="0.25">
      <c r="A45" s="8">
        <v>21</v>
      </c>
      <c r="B45" s="8">
        <v>11</v>
      </c>
      <c r="C45" s="8">
        <v>0</v>
      </c>
      <c r="D45" s="8">
        <v>3</v>
      </c>
      <c r="E45" s="8">
        <v>16936</v>
      </c>
      <c r="F45" s="8">
        <v>6</v>
      </c>
      <c r="G45" s="8">
        <v>3</v>
      </c>
      <c r="H45" s="8">
        <v>3</v>
      </c>
      <c r="I45" s="8">
        <v>3</v>
      </c>
      <c r="J45" s="8">
        <v>1535439360</v>
      </c>
      <c r="K45" s="8">
        <v>465017731</v>
      </c>
      <c r="L45" s="8">
        <v>249563856</v>
      </c>
      <c r="M45" s="8">
        <v>0</v>
      </c>
      <c r="N45" s="8">
        <v>0</v>
      </c>
      <c r="O45" s="8">
        <v>0</v>
      </c>
      <c r="P45" s="8"/>
      <c r="R45">
        <f t="shared" si="15"/>
        <v>0</v>
      </c>
      <c r="S45">
        <f t="shared" si="16"/>
        <v>0</v>
      </c>
      <c r="T45">
        <f t="shared" si="17"/>
        <v>1</v>
      </c>
      <c r="U45" t="str">
        <f t="shared" si="3"/>
        <v/>
      </c>
      <c r="V45" t="str">
        <f t="shared" si="4"/>
        <v/>
      </c>
      <c r="W45">
        <f t="shared" si="5"/>
        <v>16936</v>
      </c>
      <c r="X45">
        <f t="shared" si="12"/>
        <v>0</v>
      </c>
      <c r="AK45" s="1"/>
      <c r="AL45" s="1"/>
      <c r="AM45" s="1"/>
      <c r="AN45" s="1"/>
      <c r="AO45" s="7"/>
    </row>
    <row r="46" spans="1:41" x14ac:dyDescent="0.25">
      <c r="A46" s="8">
        <v>21</v>
      </c>
      <c r="B46" s="8">
        <v>12</v>
      </c>
      <c r="C46" s="8">
        <v>0</v>
      </c>
      <c r="D46" s="8">
        <v>3</v>
      </c>
      <c r="E46" s="8">
        <v>11.2</v>
      </c>
      <c r="F46" s="8">
        <v>6</v>
      </c>
      <c r="G46" s="8">
        <v>2</v>
      </c>
      <c r="H46" s="8">
        <v>2</v>
      </c>
      <c r="I46" s="8">
        <v>2</v>
      </c>
      <c r="J46" s="8">
        <v>1535439360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/>
      <c r="R46">
        <f t="shared" si="15"/>
        <v>0</v>
      </c>
      <c r="S46">
        <f t="shared" si="16"/>
        <v>0</v>
      </c>
      <c r="T46">
        <f t="shared" si="17"/>
        <v>1</v>
      </c>
      <c r="U46" t="str">
        <f t="shared" si="3"/>
        <v/>
      </c>
      <c r="V46" t="str">
        <f t="shared" si="4"/>
        <v/>
      </c>
      <c r="W46">
        <f t="shared" si="5"/>
        <v>11.2</v>
      </c>
      <c r="X46">
        <f t="shared" si="12"/>
        <v>0</v>
      </c>
      <c r="AK46" s="1"/>
      <c r="AL46" s="1"/>
      <c r="AM46" s="1"/>
      <c r="AN46" s="1"/>
      <c r="AO46" s="7"/>
    </row>
    <row r="47" spans="1:41" x14ac:dyDescent="0.25">
      <c r="A47" s="8">
        <v>21</v>
      </c>
      <c r="B47" s="8">
        <v>13</v>
      </c>
      <c r="C47" s="8">
        <v>95</v>
      </c>
      <c r="D47" s="8">
        <v>1</v>
      </c>
      <c r="E47" s="8">
        <v>26.6</v>
      </c>
      <c r="F47" s="8">
        <v>17</v>
      </c>
      <c r="G47" s="8">
        <v>3.7</v>
      </c>
      <c r="H47" s="8">
        <v>2</v>
      </c>
      <c r="I47" s="8">
        <v>5</v>
      </c>
      <c r="J47" s="8">
        <v>54837120</v>
      </c>
      <c r="K47" s="8">
        <v>1293051</v>
      </c>
      <c r="L47" s="8">
        <v>222310</v>
      </c>
      <c r="M47" s="8">
        <v>6</v>
      </c>
      <c r="N47" s="8">
        <v>2</v>
      </c>
      <c r="O47" s="8">
        <v>9</v>
      </c>
      <c r="P47" s="8"/>
      <c r="R47">
        <f t="shared" si="15"/>
        <v>1</v>
      </c>
      <c r="S47">
        <f t="shared" si="16"/>
        <v>0</v>
      </c>
      <c r="T47">
        <f t="shared" si="17"/>
        <v>0</v>
      </c>
      <c r="U47">
        <f t="shared" si="3"/>
        <v>26.6</v>
      </c>
      <c r="V47" t="str">
        <f t="shared" si="4"/>
        <v/>
      </c>
      <c r="W47" t="str">
        <f t="shared" si="5"/>
        <v/>
      </c>
      <c r="X47">
        <f t="shared" si="12"/>
        <v>1</v>
      </c>
      <c r="AK47" s="1"/>
      <c r="AL47" s="1"/>
      <c r="AM47" s="1"/>
      <c r="AN47" s="1"/>
      <c r="AO47" s="7"/>
    </row>
    <row r="48" spans="1:41" x14ac:dyDescent="0.25">
      <c r="A48" s="8">
        <v>21</v>
      </c>
      <c r="B48" s="8">
        <v>14</v>
      </c>
      <c r="C48" s="8">
        <v>84</v>
      </c>
      <c r="D48" s="8">
        <v>1</v>
      </c>
      <c r="E48" s="8">
        <v>18.399999999999999</v>
      </c>
      <c r="F48" s="8">
        <v>26</v>
      </c>
      <c r="G48" s="8">
        <v>4.5999999999999996</v>
      </c>
      <c r="H48" s="8">
        <v>3</v>
      </c>
      <c r="I48" s="8">
        <v>6</v>
      </c>
      <c r="J48" s="8">
        <v>54837120</v>
      </c>
      <c r="K48" s="8">
        <v>79144</v>
      </c>
      <c r="L48" s="8">
        <v>14662</v>
      </c>
      <c r="M48" s="8">
        <v>1</v>
      </c>
      <c r="N48" s="8">
        <v>4</v>
      </c>
      <c r="O48" s="8">
        <v>9</v>
      </c>
      <c r="P48" s="8"/>
      <c r="R48">
        <f t="shared" si="15"/>
        <v>1</v>
      </c>
      <c r="S48">
        <f t="shared" si="16"/>
        <v>0</v>
      </c>
      <c r="T48">
        <f t="shared" si="17"/>
        <v>0</v>
      </c>
      <c r="U48">
        <f t="shared" si="3"/>
        <v>18.399999999999999</v>
      </c>
      <c r="V48" t="str">
        <f t="shared" si="4"/>
        <v/>
      </c>
      <c r="W48" t="str">
        <f t="shared" si="5"/>
        <v/>
      </c>
      <c r="X48">
        <f t="shared" si="12"/>
        <v>1</v>
      </c>
      <c r="AK48" s="1"/>
      <c r="AL48" s="1"/>
      <c r="AM48" s="1"/>
      <c r="AN48" s="1"/>
      <c r="AO48" s="7"/>
    </row>
    <row r="49" spans="1:41" x14ac:dyDescent="0.25">
      <c r="A49" s="8">
        <v>21</v>
      </c>
      <c r="B49" s="8">
        <v>15</v>
      </c>
      <c r="C49" s="8">
        <v>40</v>
      </c>
      <c r="D49" s="8">
        <v>1</v>
      </c>
      <c r="E49" s="8">
        <v>32.799999999999997</v>
      </c>
      <c r="F49" s="8">
        <v>33</v>
      </c>
      <c r="G49" s="8">
        <v>6</v>
      </c>
      <c r="H49" s="8">
        <v>3</v>
      </c>
      <c r="I49" s="8">
        <v>8</v>
      </c>
      <c r="J49" s="8">
        <v>54837120</v>
      </c>
      <c r="K49" s="8">
        <v>80292</v>
      </c>
      <c r="L49" s="8">
        <v>667</v>
      </c>
      <c r="M49" s="8">
        <v>1</v>
      </c>
      <c r="N49" s="8">
        <v>5</v>
      </c>
      <c r="O49" s="8">
        <v>9</v>
      </c>
      <c r="P49" s="8"/>
      <c r="R49">
        <f t="shared" si="15"/>
        <v>1</v>
      </c>
      <c r="S49">
        <f t="shared" si="16"/>
        <v>0</v>
      </c>
      <c r="T49">
        <f t="shared" si="17"/>
        <v>0</v>
      </c>
      <c r="U49">
        <f t="shared" si="3"/>
        <v>32.799999999999997</v>
      </c>
      <c r="V49" t="str">
        <f t="shared" si="4"/>
        <v/>
      </c>
      <c r="W49" t="str">
        <f t="shared" si="5"/>
        <v/>
      </c>
      <c r="X49">
        <f t="shared" si="12"/>
        <v>1</v>
      </c>
      <c r="AK49" s="1"/>
      <c r="AL49" s="1"/>
      <c r="AM49" s="1"/>
      <c r="AN49" s="1"/>
      <c r="AO49" s="7"/>
    </row>
    <row r="50" spans="1:41" x14ac:dyDescent="0.25">
      <c r="A50" s="8">
        <v>21</v>
      </c>
      <c r="B50" s="8">
        <v>16</v>
      </c>
      <c r="C50" s="8">
        <v>45</v>
      </c>
      <c r="D50" s="8">
        <v>1</v>
      </c>
      <c r="E50" s="8">
        <v>23.4</v>
      </c>
      <c r="F50" s="8">
        <v>30</v>
      </c>
      <c r="G50" s="8">
        <v>4.7</v>
      </c>
      <c r="H50" s="8">
        <v>2</v>
      </c>
      <c r="I50" s="8">
        <v>6</v>
      </c>
      <c r="J50" s="8">
        <v>54837120</v>
      </c>
      <c r="K50" s="8">
        <v>81246</v>
      </c>
      <c r="L50" s="8">
        <v>6733</v>
      </c>
      <c r="M50" s="8">
        <v>1</v>
      </c>
      <c r="N50" s="8">
        <v>3</v>
      </c>
      <c r="O50" s="8">
        <v>11</v>
      </c>
      <c r="P50" s="8"/>
      <c r="R50">
        <f t="shared" si="15"/>
        <v>1</v>
      </c>
      <c r="S50">
        <f t="shared" si="16"/>
        <v>0</v>
      </c>
      <c r="T50">
        <f t="shared" si="17"/>
        <v>0</v>
      </c>
      <c r="U50">
        <f t="shared" si="3"/>
        <v>23.4</v>
      </c>
      <c r="V50" t="str">
        <f t="shared" si="4"/>
        <v/>
      </c>
      <c r="W50" t="str">
        <f t="shared" si="5"/>
        <v/>
      </c>
      <c r="X50">
        <f t="shared" si="12"/>
        <v>1</v>
      </c>
      <c r="AK50" s="1"/>
      <c r="AL50" s="1"/>
      <c r="AM50" s="1"/>
      <c r="AN50" s="1"/>
      <c r="AO50" s="7"/>
    </row>
    <row r="51" spans="1:41" x14ac:dyDescent="0.25">
      <c r="A51" s="8">
        <v>21</v>
      </c>
      <c r="B51" s="8">
        <v>17</v>
      </c>
      <c r="C51" s="8">
        <v>100</v>
      </c>
      <c r="D51" s="8">
        <v>1</v>
      </c>
      <c r="E51" s="8">
        <v>31.6</v>
      </c>
      <c r="F51" s="8">
        <v>20</v>
      </c>
      <c r="G51" s="8">
        <v>4.3</v>
      </c>
      <c r="H51" s="8">
        <v>2</v>
      </c>
      <c r="I51" s="8">
        <v>5</v>
      </c>
      <c r="J51" s="8">
        <v>54837120</v>
      </c>
      <c r="K51" s="8">
        <v>3380</v>
      </c>
      <c r="L51" s="8">
        <v>39</v>
      </c>
      <c r="M51" s="8">
        <v>1</v>
      </c>
      <c r="N51" s="8">
        <v>7</v>
      </c>
      <c r="O51" s="8">
        <v>10</v>
      </c>
      <c r="P51" s="8"/>
      <c r="R51">
        <f t="shared" si="15"/>
        <v>1</v>
      </c>
      <c r="S51">
        <f t="shared" si="16"/>
        <v>0</v>
      </c>
      <c r="T51">
        <f t="shared" si="17"/>
        <v>0</v>
      </c>
      <c r="U51">
        <f t="shared" si="3"/>
        <v>31.6</v>
      </c>
      <c r="V51" t="str">
        <f t="shared" si="4"/>
        <v/>
      </c>
      <c r="W51" t="str">
        <f t="shared" si="5"/>
        <v/>
      </c>
      <c r="X51">
        <f t="shared" si="12"/>
        <v>1</v>
      </c>
      <c r="AK51" s="1"/>
      <c r="AL51" s="1"/>
      <c r="AM51" s="1"/>
      <c r="AN51" s="1"/>
      <c r="AO51" s="7"/>
    </row>
    <row r="52" spans="1:41" x14ac:dyDescent="0.25">
      <c r="A52" s="8">
        <v>21</v>
      </c>
      <c r="B52" s="8">
        <v>18</v>
      </c>
      <c r="C52" s="8">
        <v>70</v>
      </c>
      <c r="D52" s="8">
        <v>1</v>
      </c>
      <c r="E52" s="8">
        <v>815.4</v>
      </c>
      <c r="F52" s="8">
        <v>7</v>
      </c>
      <c r="G52" s="8">
        <v>3.6</v>
      </c>
      <c r="H52" s="8">
        <v>3</v>
      </c>
      <c r="I52" s="8">
        <v>4</v>
      </c>
      <c r="J52" s="8">
        <v>54837120</v>
      </c>
      <c r="K52" s="8">
        <v>17996452</v>
      </c>
      <c r="L52" s="8">
        <v>7707380</v>
      </c>
      <c r="M52" s="8">
        <v>1</v>
      </c>
      <c r="N52" s="8">
        <v>4</v>
      </c>
      <c r="O52" s="8">
        <v>10</v>
      </c>
      <c r="P52" s="8"/>
      <c r="R52">
        <f t="shared" si="15"/>
        <v>1</v>
      </c>
      <c r="S52">
        <f t="shared" si="16"/>
        <v>0</v>
      </c>
      <c r="T52">
        <f t="shared" si="17"/>
        <v>0</v>
      </c>
      <c r="U52">
        <f t="shared" si="3"/>
        <v>815.4</v>
      </c>
      <c r="V52" t="str">
        <f t="shared" si="4"/>
        <v/>
      </c>
      <c r="W52" t="str">
        <f t="shared" si="5"/>
        <v/>
      </c>
      <c r="X52">
        <f t="shared" si="12"/>
        <v>1</v>
      </c>
      <c r="AK52" s="1"/>
      <c r="AL52" s="1"/>
      <c r="AM52" s="1"/>
      <c r="AN52" s="1"/>
      <c r="AO52" s="7"/>
    </row>
    <row r="53" spans="1:41" x14ac:dyDescent="0.25">
      <c r="A53" s="8">
        <v>21</v>
      </c>
      <c r="B53" s="8">
        <v>19</v>
      </c>
      <c r="C53" s="8">
        <v>90</v>
      </c>
      <c r="D53" s="8">
        <v>1</v>
      </c>
      <c r="E53" s="8">
        <v>38.9</v>
      </c>
      <c r="F53" s="8">
        <v>16</v>
      </c>
      <c r="G53" s="8">
        <v>5.9</v>
      </c>
      <c r="H53" s="8">
        <v>3</v>
      </c>
      <c r="I53" s="8">
        <v>7</v>
      </c>
      <c r="J53" s="8">
        <v>54837120</v>
      </c>
      <c r="K53" s="8">
        <v>2007923</v>
      </c>
      <c r="L53" s="8">
        <v>157823</v>
      </c>
      <c r="M53" s="8">
        <v>1</v>
      </c>
      <c r="N53" s="8">
        <v>6</v>
      </c>
      <c r="O53" s="8">
        <v>9</v>
      </c>
      <c r="P53" s="8"/>
      <c r="R53">
        <f t="shared" si="15"/>
        <v>1</v>
      </c>
      <c r="S53">
        <f t="shared" si="16"/>
        <v>0</v>
      </c>
      <c r="T53">
        <f t="shared" si="17"/>
        <v>0</v>
      </c>
      <c r="U53">
        <f t="shared" si="3"/>
        <v>38.9</v>
      </c>
      <c r="V53" t="str">
        <f t="shared" si="4"/>
        <v/>
      </c>
      <c r="W53" t="str">
        <f t="shared" si="5"/>
        <v/>
      </c>
      <c r="X53">
        <f t="shared" si="12"/>
        <v>1</v>
      </c>
      <c r="AK53" s="1"/>
      <c r="AL53" s="1"/>
      <c r="AM53" s="1"/>
      <c r="AN53" s="1"/>
      <c r="AO53" s="7"/>
    </row>
    <row r="54" spans="1:41" x14ac:dyDescent="0.25">
      <c r="A54" s="8">
        <v>21</v>
      </c>
      <c r="B54" s="8">
        <v>20</v>
      </c>
      <c r="C54" s="8">
        <v>90</v>
      </c>
      <c r="D54" s="8">
        <v>1</v>
      </c>
      <c r="E54" s="8">
        <v>15.4</v>
      </c>
      <c r="F54" s="8">
        <v>7</v>
      </c>
      <c r="G54" s="8">
        <v>2.4</v>
      </c>
      <c r="H54" s="8">
        <v>2</v>
      </c>
      <c r="I54" s="8">
        <v>3</v>
      </c>
      <c r="J54" s="8">
        <v>54837120</v>
      </c>
      <c r="K54" s="8">
        <v>96048</v>
      </c>
      <c r="L54" s="8">
        <v>37031</v>
      </c>
      <c r="M54" s="8">
        <v>7</v>
      </c>
      <c r="N54" s="8">
        <v>3</v>
      </c>
      <c r="O54" s="8">
        <v>11</v>
      </c>
      <c r="P54" s="8"/>
      <c r="R54">
        <f t="shared" si="15"/>
        <v>1</v>
      </c>
      <c r="S54">
        <f t="shared" si="16"/>
        <v>0</v>
      </c>
      <c r="T54">
        <f t="shared" si="17"/>
        <v>0</v>
      </c>
      <c r="U54">
        <f t="shared" si="3"/>
        <v>15.4</v>
      </c>
      <c r="V54" t="str">
        <f t="shared" si="4"/>
        <v/>
      </c>
      <c r="W54" t="str">
        <f t="shared" si="5"/>
        <v/>
      </c>
      <c r="X54">
        <f t="shared" si="12"/>
        <v>1</v>
      </c>
      <c r="AK54" s="1"/>
      <c r="AL54" s="1"/>
      <c r="AM54" s="1"/>
      <c r="AN54" s="1"/>
      <c r="AO54" s="7"/>
    </row>
    <row r="55" spans="1:41" x14ac:dyDescent="0.25">
      <c r="A55" s="8">
        <v>21</v>
      </c>
      <c r="B55" s="8">
        <v>21</v>
      </c>
      <c r="C55" s="8">
        <v>61</v>
      </c>
      <c r="D55" s="8">
        <v>1</v>
      </c>
      <c r="E55" s="8">
        <v>123</v>
      </c>
      <c r="F55" s="8">
        <v>5</v>
      </c>
      <c r="G55" s="8">
        <v>2.6</v>
      </c>
      <c r="H55" s="8">
        <v>2</v>
      </c>
      <c r="I55" s="8">
        <v>3</v>
      </c>
      <c r="J55" s="8">
        <v>54837120</v>
      </c>
      <c r="K55" s="8">
        <v>20078718</v>
      </c>
      <c r="L55" s="8">
        <v>15805981</v>
      </c>
      <c r="M55" s="8">
        <v>1</v>
      </c>
      <c r="N55" s="8">
        <v>3</v>
      </c>
      <c r="O55" s="8">
        <v>9</v>
      </c>
      <c r="P55" s="8"/>
      <c r="R55">
        <f t="shared" si="15"/>
        <v>1</v>
      </c>
      <c r="S55">
        <f t="shared" si="16"/>
        <v>0</v>
      </c>
      <c r="T55">
        <f t="shared" si="17"/>
        <v>0</v>
      </c>
      <c r="U55">
        <f t="shared" si="3"/>
        <v>123</v>
      </c>
      <c r="V55" t="str">
        <f t="shared" si="4"/>
        <v/>
      </c>
      <c r="W55" t="str">
        <f t="shared" si="5"/>
        <v/>
      </c>
      <c r="X55">
        <f t="shared" si="12"/>
        <v>1</v>
      </c>
      <c r="AK55" s="1"/>
      <c r="AL55" s="1"/>
      <c r="AM55" s="1"/>
      <c r="AN55" s="1"/>
      <c r="AO55" s="7"/>
    </row>
    <row r="56" spans="1:41" x14ac:dyDescent="0.25">
      <c r="A56" s="8">
        <v>21</v>
      </c>
      <c r="B56" s="8">
        <v>22</v>
      </c>
      <c r="C56" s="8">
        <v>91</v>
      </c>
      <c r="D56" s="8">
        <v>1</v>
      </c>
      <c r="E56" s="8">
        <v>40.9</v>
      </c>
      <c r="F56" s="8">
        <v>23</v>
      </c>
      <c r="G56" s="8">
        <v>7.1</v>
      </c>
      <c r="H56" s="8">
        <v>3</v>
      </c>
      <c r="I56" s="8">
        <v>9</v>
      </c>
      <c r="J56" s="8">
        <v>54837120</v>
      </c>
      <c r="K56" s="8">
        <v>80510</v>
      </c>
      <c r="L56" s="8">
        <v>40</v>
      </c>
      <c r="M56" s="8">
        <v>1</v>
      </c>
      <c r="N56" s="8">
        <v>8</v>
      </c>
      <c r="O56" s="8">
        <v>9</v>
      </c>
      <c r="P56" s="8"/>
      <c r="R56">
        <f t="shared" si="15"/>
        <v>1</v>
      </c>
      <c r="S56">
        <f t="shared" si="16"/>
        <v>0</v>
      </c>
      <c r="T56">
        <f t="shared" si="17"/>
        <v>0</v>
      </c>
      <c r="U56">
        <f t="shared" si="3"/>
        <v>40.9</v>
      </c>
      <c r="V56" t="str">
        <f t="shared" si="4"/>
        <v/>
      </c>
      <c r="W56" t="str">
        <f t="shared" si="5"/>
        <v/>
      </c>
      <c r="X56">
        <f t="shared" si="12"/>
        <v>1</v>
      </c>
      <c r="AK56" s="1"/>
      <c r="AL56" s="1"/>
      <c r="AM56" s="1"/>
      <c r="AN56" s="1"/>
      <c r="AO56" s="7"/>
    </row>
    <row r="57" spans="1:41" x14ac:dyDescent="0.25">
      <c r="A57" s="8">
        <v>21</v>
      </c>
      <c r="B57" s="8">
        <v>23</v>
      </c>
      <c r="C57" s="8">
        <v>88</v>
      </c>
      <c r="D57" s="8">
        <v>1</v>
      </c>
      <c r="E57" s="8">
        <v>48.1</v>
      </c>
      <c r="F57" s="8">
        <v>22</v>
      </c>
      <c r="G57" s="8">
        <v>6.6</v>
      </c>
      <c r="H57" s="8">
        <v>2</v>
      </c>
      <c r="I57" s="8">
        <v>9</v>
      </c>
      <c r="J57" s="8">
        <v>54837120</v>
      </c>
      <c r="K57" s="8">
        <v>83507</v>
      </c>
      <c r="L57" s="8">
        <v>148</v>
      </c>
      <c r="M57" s="8">
        <v>2</v>
      </c>
      <c r="N57" s="8">
        <v>7</v>
      </c>
      <c r="O57" s="8">
        <v>9</v>
      </c>
      <c r="P57" s="8"/>
      <c r="R57">
        <f t="shared" si="15"/>
        <v>1</v>
      </c>
      <c r="S57">
        <f t="shared" si="16"/>
        <v>0</v>
      </c>
      <c r="T57">
        <f t="shared" si="17"/>
        <v>0</v>
      </c>
      <c r="U57">
        <f t="shared" si="3"/>
        <v>48.1</v>
      </c>
      <c r="V57" t="str">
        <f t="shared" si="4"/>
        <v/>
      </c>
      <c r="W57" t="str">
        <f t="shared" si="5"/>
        <v/>
      </c>
      <c r="X57">
        <f t="shared" si="12"/>
        <v>1</v>
      </c>
      <c r="AK57" s="1"/>
      <c r="AL57" s="1"/>
      <c r="AM57" s="1"/>
      <c r="AN57" s="1"/>
      <c r="AO57" s="7"/>
    </row>
    <row r="58" spans="1:41" x14ac:dyDescent="0.25">
      <c r="A58" s="8">
        <v>21</v>
      </c>
      <c r="B58" s="8">
        <v>24</v>
      </c>
      <c r="C58" s="8">
        <v>100</v>
      </c>
      <c r="D58" s="8">
        <v>1</v>
      </c>
      <c r="E58" s="8">
        <v>385.7</v>
      </c>
      <c r="F58" s="8">
        <v>4</v>
      </c>
      <c r="G58" s="8">
        <v>4</v>
      </c>
      <c r="H58" s="8">
        <v>4</v>
      </c>
      <c r="I58" s="8">
        <v>4</v>
      </c>
      <c r="J58" s="8">
        <v>54837120</v>
      </c>
      <c r="K58" s="8">
        <v>20150504</v>
      </c>
      <c r="L58" s="8">
        <v>11263112</v>
      </c>
      <c r="M58" s="8">
        <v>1</v>
      </c>
      <c r="N58" s="8">
        <v>2</v>
      </c>
      <c r="O58" s="8">
        <v>10</v>
      </c>
      <c r="P58" s="8"/>
      <c r="R58">
        <f t="shared" si="15"/>
        <v>1</v>
      </c>
      <c r="S58">
        <f t="shared" si="16"/>
        <v>0</v>
      </c>
      <c r="T58">
        <f t="shared" si="17"/>
        <v>0</v>
      </c>
      <c r="U58">
        <f t="shared" si="3"/>
        <v>385.7</v>
      </c>
      <c r="V58" t="str">
        <f t="shared" si="4"/>
        <v/>
      </c>
      <c r="W58" t="str">
        <f t="shared" si="5"/>
        <v/>
      </c>
      <c r="X58">
        <f t="shared" si="12"/>
        <v>1</v>
      </c>
      <c r="AK58" s="1"/>
      <c r="AL58" s="1"/>
      <c r="AM58" s="1"/>
      <c r="AN58" s="1"/>
      <c r="AO58" s="7"/>
    </row>
    <row r="59" spans="1:41" x14ac:dyDescent="0.25">
      <c r="A59" s="8">
        <v>21</v>
      </c>
      <c r="B59" s="8">
        <v>25</v>
      </c>
      <c r="C59" s="8">
        <v>92</v>
      </c>
      <c r="D59" s="8">
        <v>1</v>
      </c>
      <c r="E59" s="8">
        <v>28.6</v>
      </c>
      <c r="F59" s="8">
        <v>80</v>
      </c>
      <c r="G59" s="8">
        <v>7.5</v>
      </c>
      <c r="H59" s="8">
        <v>4</v>
      </c>
      <c r="I59" s="8">
        <v>11</v>
      </c>
      <c r="J59" s="8">
        <v>54837120</v>
      </c>
      <c r="K59" s="8">
        <v>3073</v>
      </c>
      <c r="L59" s="8">
        <v>1</v>
      </c>
      <c r="M59" s="8">
        <v>1</v>
      </c>
      <c r="N59" s="8">
        <v>5</v>
      </c>
      <c r="O59" s="8">
        <v>9</v>
      </c>
      <c r="P59" s="8"/>
      <c r="R59">
        <f t="shared" si="15"/>
        <v>1</v>
      </c>
      <c r="S59">
        <f t="shared" si="16"/>
        <v>0</v>
      </c>
      <c r="T59">
        <f t="shared" si="17"/>
        <v>0</v>
      </c>
      <c r="U59">
        <f t="shared" si="3"/>
        <v>28.6</v>
      </c>
      <c r="V59" t="str">
        <f t="shared" si="4"/>
        <v/>
      </c>
      <c r="W59" t="str">
        <f t="shared" si="5"/>
        <v/>
      </c>
      <c r="X59">
        <f t="shared" si="12"/>
        <v>1</v>
      </c>
      <c r="AK59" s="1"/>
      <c r="AL59" s="1"/>
      <c r="AM59" s="1"/>
      <c r="AN59" s="1"/>
      <c r="AO59" s="7"/>
    </row>
    <row r="60" spans="1:41" x14ac:dyDescent="0.25">
      <c r="A60" s="8">
        <v>21</v>
      </c>
      <c r="B60" s="8">
        <v>26</v>
      </c>
      <c r="C60" s="8">
        <v>56</v>
      </c>
      <c r="D60" s="8">
        <v>1</v>
      </c>
      <c r="E60" s="8">
        <v>22.4</v>
      </c>
      <c r="F60" s="8">
        <v>30</v>
      </c>
      <c r="G60" s="8">
        <v>4</v>
      </c>
      <c r="H60" s="8">
        <v>2</v>
      </c>
      <c r="I60" s="8">
        <v>5</v>
      </c>
      <c r="J60" s="8">
        <v>54837120</v>
      </c>
      <c r="K60" s="8">
        <v>19</v>
      </c>
      <c r="L60" s="8">
        <v>5</v>
      </c>
      <c r="M60" s="8">
        <v>2</v>
      </c>
      <c r="N60" s="8">
        <v>5</v>
      </c>
      <c r="O60" s="8">
        <v>8</v>
      </c>
      <c r="P60" s="8"/>
      <c r="R60">
        <f t="shared" si="15"/>
        <v>1</v>
      </c>
      <c r="S60">
        <f t="shared" si="16"/>
        <v>0</v>
      </c>
      <c r="T60">
        <f t="shared" si="17"/>
        <v>0</v>
      </c>
      <c r="U60">
        <f t="shared" si="3"/>
        <v>22.4</v>
      </c>
      <c r="V60" t="str">
        <f t="shared" si="4"/>
        <v/>
      </c>
      <c r="W60" t="str">
        <f t="shared" si="5"/>
        <v/>
      </c>
      <c r="X60">
        <f t="shared" si="12"/>
        <v>1</v>
      </c>
      <c r="AK60" s="1"/>
      <c r="AL60" s="1"/>
      <c r="AM60" s="1"/>
      <c r="AN60" s="1"/>
      <c r="AO60" s="7"/>
    </row>
    <row r="61" spans="1:41" x14ac:dyDescent="0.25">
      <c r="A61" s="8">
        <v>0</v>
      </c>
      <c r="B61" s="8">
        <v>0</v>
      </c>
      <c r="C61" s="8">
        <v>0</v>
      </c>
      <c r="D61" s="8">
        <v>0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  <c r="P61" s="8"/>
      <c r="R61">
        <f t="shared" si="15"/>
        <v>0</v>
      </c>
      <c r="S61">
        <f t="shared" si="16"/>
        <v>0</v>
      </c>
      <c r="T61">
        <f t="shared" si="17"/>
        <v>0</v>
      </c>
      <c r="U61" t="str">
        <f t="shared" si="3"/>
        <v/>
      </c>
      <c r="V61" t="str">
        <f t="shared" si="4"/>
        <v/>
      </c>
      <c r="W61" t="str">
        <f t="shared" si="5"/>
        <v/>
      </c>
      <c r="X61">
        <f t="shared" si="12"/>
        <v>0</v>
      </c>
      <c r="AK61" s="1"/>
      <c r="AL61" s="1"/>
      <c r="AM61" s="1"/>
      <c r="AN61" s="1"/>
      <c r="AO61" s="7"/>
    </row>
    <row r="62" spans="1:41" x14ac:dyDescent="0.25">
      <c r="A62" s="8">
        <v>0</v>
      </c>
      <c r="B62" s="8">
        <v>0</v>
      </c>
      <c r="C62" s="8"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/>
      <c r="R62">
        <f t="shared" si="15"/>
        <v>0</v>
      </c>
      <c r="S62">
        <f t="shared" si="16"/>
        <v>0</v>
      </c>
      <c r="T62">
        <f t="shared" si="17"/>
        <v>0</v>
      </c>
      <c r="U62" t="str">
        <f t="shared" si="3"/>
        <v/>
      </c>
      <c r="V62" t="str">
        <f t="shared" si="4"/>
        <v/>
      </c>
      <c r="W62" t="str">
        <f t="shared" si="5"/>
        <v/>
      </c>
      <c r="X62">
        <f t="shared" si="12"/>
        <v>0</v>
      </c>
      <c r="AK62" s="1"/>
      <c r="AL62" s="1"/>
      <c r="AM62" s="1"/>
      <c r="AN62" s="1"/>
      <c r="AO62" s="7"/>
    </row>
    <row r="63" spans="1:41" x14ac:dyDescent="0.25">
      <c r="A63" s="8">
        <v>0</v>
      </c>
      <c r="B63" s="8">
        <v>0</v>
      </c>
      <c r="C63" s="8">
        <v>0</v>
      </c>
      <c r="D63" s="8">
        <v>0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/>
      <c r="R63">
        <f t="shared" si="15"/>
        <v>0</v>
      </c>
      <c r="S63">
        <f t="shared" si="16"/>
        <v>0</v>
      </c>
      <c r="T63">
        <f t="shared" si="17"/>
        <v>0</v>
      </c>
      <c r="U63" t="str">
        <f t="shared" si="3"/>
        <v/>
      </c>
      <c r="V63" t="str">
        <f t="shared" si="4"/>
        <v/>
      </c>
      <c r="W63" t="str">
        <f t="shared" si="5"/>
        <v/>
      </c>
      <c r="X63">
        <f t="shared" si="12"/>
        <v>0</v>
      </c>
      <c r="AK63" s="1"/>
      <c r="AL63" s="1"/>
      <c r="AM63" s="1"/>
      <c r="AN63" s="1"/>
      <c r="AO63" s="7"/>
    </row>
    <row r="64" spans="1:41" x14ac:dyDescent="0.25">
      <c r="A64" s="8">
        <v>22</v>
      </c>
      <c r="B64" s="8">
        <v>0</v>
      </c>
      <c r="C64" s="8">
        <v>97</v>
      </c>
      <c r="D64" s="8">
        <v>1</v>
      </c>
      <c r="E64" s="8">
        <v>27.5</v>
      </c>
      <c r="F64" s="8">
        <v>22</v>
      </c>
      <c r="G64" s="8">
        <v>4</v>
      </c>
      <c r="H64" s="8">
        <v>2</v>
      </c>
      <c r="I64" s="8">
        <v>5</v>
      </c>
      <c r="J64" s="8">
        <v>54837120</v>
      </c>
      <c r="K64" s="8">
        <v>163</v>
      </c>
      <c r="L64" s="8">
        <v>2</v>
      </c>
      <c r="M64" s="8">
        <v>2</v>
      </c>
      <c r="N64" s="8">
        <v>6</v>
      </c>
      <c r="O64" s="8">
        <v>9</v>
      </c>
      <c r="P64" s="8"/>
      <c r="R64">
        <f t="shared" si="15"/>
        <v>1</v>
      </c>
      <c r="S64">
        <f t="shared" si="16"/>
        <v>0</v>
      </c>
      <c r="T64">
        <f t="shared" si="17"/>
        <v>0</v>
      </c>
      <c r="U64">
        <f t="shared" si="3"/>
        <v>27.5</v>
      </c>
      <c r="V64" t="str">
        <f t="shared" si="4"/>
        <v/>
      </c>
      <c r="W64" t="str">
        <f t="shared" si="5"/>
        <v/>
      </c>
      <c r="X64">
        <f t="shared" si="12"/>
        <v>1</v>
      </c>
      <c r="AK64" s="1"/>
      <c r="AL64" s="1"/>
      <c r="AM64" s="1"/>
      <c r="AN64" s="1"/>
      <c r="AO64" s="7"/>
    </row>
    <row r="65" spans="1:41" x14ac:dyDescent="0.25">
      <c r="A65" s="8">
        <v>22</v>
      </c>
      <c r="B65" s="8">
        <v>1</v>
      </c>
      <c r="C65" s="8">
        <v>81</v>
      </c>
      <c r="D65" s="8">
        <v>1</v>
      </c>
      <c r="E65" s="8">
        <v>18.3</v>
      </c>
      <c r="F65" s="8">
        <v>149</v>
      </c>
      <c r="G65" s="8">
        <v>10.199999999999999</v>
      </c>
      <c r="H65" s="8">
        <v>2</v>
      </c>
      <c r="I65" s="8">
        <v>13</v>
      </c>
      <c r="J65" s="8">
        <v>54837120</v>
      </c>
      <c r="K65" s="8">
        <v>114</v>
      </c>
      <c r="L65" s="8">
        <v>6</v>
      </c>
      <c r="M65" s="8">
        <v>6</v>
      </c>
      <c r="N65" s="8">
        <v>7</v>
      </c>
      <c r="O65" s="8">
        <v>8</v>
      </c>
      <c r="P65" s="8"/>
      <c r="R65">
        <f t="shared" si="15"/>
        <v>1</v>
      </c>
      <c r="S65">
        <f t="shared" si="16"/>
        <v>0</v>
      </c>
      <c r="T65">
        <f t="shared" si="17"/>
        <v>0</v>
      </c>
      <c r="U65">
        <f t="shared" si="3"/>
        <v>18.3</v>
      </c>
      <c r="V65" t="str">
        <f t="shared" si="4"/>
        <v/>
      </c>
      <c r="W65" t="str">
        <f t="shared" si="5"/>
        <v/>
      </c>
      <c r="X65">
        <f t="shared" si="12"/>
        <v>1</v>
      </c>
      <c r="AK65" s="1"/>
      <c r="AL65" s="1"/>
      <c r="AM65" s="1"/>
      <c r="AN65" s="1"/>
      <c r="AO65" s="7"/>
    </row>
    <row r="66" spans="1:41" x14ac:dyDescent="0.25">
      <c r="A66" s="8">
        <v>22</v>
      </c>
      <c r="B66" s="8">
        <v>2</v>
      </c>
      <c r="C66" s="8">
        <v>88</v>
      </c>
      <c r="D66" s="8">
        <v>1</v>
      </c>
      <c r="E66" s="8">
        <v>22.4</v>
      </c>
      <c r="F66" s="8">
        <v>11</v>
      </c>
      <c r="G66" s="8">
        <v>2.8</v>
      </c>
      <c r="H66" s="8">
        <v>2</v>
      </c>
      <c r="I66" s="8">
        <v>3</v>
      </c>
      <c r="J66" s="8">
        <v>54837120</v>
      </c>
      <c r="K66" s="8">
        <v>3438</v>
      </c>
      <c r="L66" s="8">
        <v>201</v>
      </c>
      <c r="M66" s="8">
        <v>5</v>
      </c>
      <c r="N66" s="8">
        <v>4</v>
      </c>
      <c r="O66" s="8">
        <v>9</v>
      </c>
      <c r="P66" s="8"/>
      <c r="R66">
        <f t="shared" si="15"/>
        <v>1</v>
      </c>
      <c r="S66">
        <f t="shared" si="16"/>
        <v>0</v>
      </c>
      <c r="T66">
        <f t="shared" si="17"/>
        <v>0</v>
      </c>
      <c r="U66">
        <f t="shared" si="3"/>
        <v>22.4</v>
      </c>
      <c r="V66" t="str">
        <f t="shared" si="4"/>
        <v/>
      </c>
      <c r="W66" t="str">
        <f t="shared" si="5"/>
        <v/>
      </c>
      <c r="X66">
        <f t="shared" si="12"/>
        <v>1</v>
      </c>
      <c r="AK66" s="1"/>
      <c r="AL66" s="1"/>
      <c r="AM66" s="1"/>
      <c r="AN66" s="1"/>
      <c r="AO66" s="7"/>
    </row>
    <row r="67" spans="1:41" x14ac:dyDescent="0.25">
      <c r="A67" s="8">
        <v>22</v>
      </c>
      <c r="B67" s="8">
        <v>3</v>
      </c>
      <c r="C67" s="8">
        <v>100</v>
      </c>
      <c r="D67" s="8">
        <v>1</v>
      </c>
      <c r="E67" s="8">
        <v>23.3</v>
      </c>
      <c r="F67" s="8">
        <v>17</v>
      </c>
      <c r="G67" s="8">
        <v>3.9</v>
      </c>
      <c r="H67" s="8">
        <v>2</v>
      </c>
      <c r="I67" s="8">
        <v>5</v>
      </c>
      <c r="J67" s="8">
        <v>54837120</v>
      </c>
      <c r="K67" s="8">
        <v>3466</v>
      </c>
      <c r="L67" s="8">
        <v>138</v>
      </c>
      <c r="M67" s="8">
        <v>2</v>
      </c>
      <c r="N67" s="8">
        <v>5</v>
      </c>
      <c r="O67" s="8">
        <v>10</v>
      </c>
      <c r="P67" s="8"/>
      <c r="R67">
        <f t="shared" si="15"/>
        <v>1</v>
      </c>
      <c r="S67">
        <f t="shared" si="16"/>
        <v>0</v>
      </c>
      <c r="T67">
        <f t="shared" si="17"/>
        <v>0</v>
      </c>
      <c r="U67">
        <f t="shared" si="3"/>
        <v>23.3</v>
      </c>
      <c r="V67" t="str">
        <f t="shared" si="4"/>
        <v/>
      </c>
      <c r="W67" t="str">
        <f t="shared" si="5"/>
        <v/>
      </c>
      <c r="X67">
        <f t="shared" si="12"/>
        <v>1</v>
      </c>
      <c r="AK67" s="1"/>
      <c r="AL67" s="1"/>
      <c r="AM67" s="1"/>
      <c r="AN67" s="1"/>
      <c r="AO67" s="7"/>
    </row>
    <row r="68" spans="1:41" x14ac:dyDescent="0.25">
      <c r="A68" s="8">
        <v>22</v>
      </c>
      <c r="B68" s="8">
        <v>4</v>
      </c>
      <c r="C68" s="8">
        <v>100</v>
      </c>
      <c r="D68" s="8">
        <v>2</v>
      </c>
      <c r="E68" s="8">
        <v>983.8</v>
      </c>
      <c r="F68" s="8">
        <v>7</v>
      </c>
      <c r="G68" s="8">
        <v>2.4</v>
      </c>
      <c r="H68" s="8">
        <v>2</v>
      </c>
      <c r="I68" s="8">
        <v>3</v>
      </c>
      <c r="J68" s="8">
        <v>109674240</v>
      </c>
      <c r="K68" s="8">
        <v>20084151</v>
      </c>
      <c r="L68" s="8">
        <v>15812353</v>
      </c>
      <c r="M68" s="8">
        <v>5</v>
      </c>
      <c r="N68" s="8">
        <v>3</v>
      </c>
      <c r="O68" s="8">
        <v>10</v>
      </c>
      <c r="P68" s="8"/>
      <c r="R68">
        <f t="shared" si="15"/>
        <v>0</v>
      </c>
      <c r="S68">
        <f t="shared" si="16"/>
        <v>1</v>
      </c>
      <c r="T68">
        <f t="shared" si="17"/>
        <v>0</v>
      </c>
      <c r="U68" t="str">
        <f t="shared" ref="U68:U96" si="28">IF(D68=1,E68,"")</f>
        <v/>
      </c>
      <c r="V68">
        <f t="shared" ref="V68:V96" si="29">IF(D68=2,E68,"")</f>
        <v>983.8</v>
      </c>
      <c r="W68" t="str">
        <f t="shared" ref="W68:W96" si="30">IF(D68=3,E68,"")</f>
        <v/>
      </c>
      <c r="X68">
        <f t="shared" si="12"/>
        <v>1</v>
      </c>
      <c r="AK68" s="1"/>
      <c r="AL68" s="1"/>
      <c r="AM68" s="1"/>
      <c r="AN68" s="1"/>
      <c r="AO68" s="7"/>
    </row>
    <row r="69" spans="1:41" x14ac:dyDescent="0.25">
      <c r="A69" s="8">
        <v>22</v>
      </c>
      <c r="B69" s="8">
        <v>5</v>
      </c>
      <c r="C69" s="8">
        <v>75</v>
      </c>
      <c r="D69" s="8">
        <v>1</v>
      </c>
      <c r="E69" s="8">
        <v>18.399999999999999</v>
      </c>
      <c r="F69" s="8">
        <v>68</v>
      </c>
      <c r="G69" s="8">
        <v>4.9000000000000004</v>
      </c>
      <c r="H69" s="8">
        <v>2</v>
      </c>
      <c r="I69" s="8">
        <v>6</v>
      </c>
      <c r="J69" s="8">
        <v>54837120</v>
      </c>
      <c r="K69" s="8">
        <v>146</v>
      </c>
      <c r="L69" s="8">
        <v>28</v>
      </c>
      <c r="M69" s="8">
        <v>1</v>
      </c>
      <c r="N69" s="8">
        <v>5</v>
      </c>
      <c r="O69" s="8">
        <v>10</v>
      </c>
      <c r="P69" s="8"/>
      <c r="R69">
        <f t="shared" si="15"/>
        <v>1</v>
      </c>
      <c r="S69">
        <f t="shared" si="16"/>
        <v>0</v>
      </c>
      <c r="T69">
        <f t="shared" si="17"/>
        <v>0</v>
      </c>
      <c r="U69">
        <f t="shared" si="28"/>
        <v>18.399999999999999</v>
      </c>
      <c r="V69" t="str">
        <f t="shared" si="29"/>
        <v/>
      </c>
      <c r="W69" t="str">
        <f t="shared" si="30"/>
        <v/>
      </c>
      <c r="X69">
        <f t="shared" ref="X69:X132" si="31">IF(M69&gt;0,1,0)</f>
        <v>1</v>
      </c>
      <c r="AK69" s="1"/>
      <c r="AL69" s="1"/>
      <c r="AM69" s="1"/>
      <c r="AN69" s="1"/>
      <c r="AO69" s="7"/>
    </row>
    <row r="70" spans="1:41" x14ac:dyDescent="0.25">
      <c r="A70" s="8">
        <v>22</v>
      </c>
      <c r="B70" s="8">
        <v>6</v>
      </c>
      <c r="C70" s="8">
        <v>100</v>
      </c>
      <c r="D70" s="8">
        <v>1</v>
      </c>
      <c r="E70" s="8">
        <v>13.2</v>
      </c>
      <c r="F70" s="8">
        <v>14</v>
      </c>
      <c r="G70" s="8">
        <v>2.9</v>
      </c>
      <c r="H70" s="8">
        <v>2</v>
      </c>
      <c r="I70" s="8">
        <v>3</v>
      </c>
      <c r="J70" s="8">
        <v>54837120</v>
      </c>
      <c r="K70" s="8">
        <v>3208</v>
      </c>
      <c r="L70" s="8">
        <v>231</v>
      </c>
      <c r="M70" s="8">
        <v>1</v>
      </c>
      <c r="N70" s="8">
        <v>5</v>
      </c>
      <c r="O70" s="8">
        <v>10</v>
      </c>
      <c r="P70" s="8"/>
      <c r="R70">
        <f t="shared" ref="R70:R93" si="32">IF(D70=1,1,0)</f>
        <v>1</v>
      </c>
      <c r="S70">
        <f t="shared" ref="S70:S93" si="33">IF(D70=2,1,0)</f>
        <v>0</v>
      </c>
      <c r="T70">
        <f t="shared" ref="T70:T93" si="34">IF(D70=3,1,0)</f>
        <v>0</v>
      </c>
      <c r="U70">
        <f t="shared" si="28"/>
        <v>13.2</v>
      </c>
      <c r="V70" t="str">
        <f t="shared" si="29"/>
        <v/>
      </c>
      <c r="W70" t="str">
        <f t="shared" si="30"/>
        <v/>
      </c>
      <c r="X70">
        <f t="shared" si="31"/>
        <v>1</v>
      </c>
      <c r="AK70" s="1"/>
      <c r="AL70" s="1"/>
      <c r="AM70" s="1"/>
      <c r="AN70" s="1"/>
      <c r="AO70" s="7"/>
    </row>
    <row r="71" spans="1:41" x14ac:dyDescent="0.25">
      <c r="A71" s="8">
        <v>22</v>
      </c>
      <c r="B71" s="8">
        <v>7</v>
      </c>
      <c r="C71" s="8">
        <v>0</v>
      </c>
      <c r="D71" s="8">
        <v>3</v>
      </c>
      <c r="E71" s="8">
        <v>12.2</v>
      </c>
      <c r="F71" s="8">
        <v>2</v>
      </c>
      <c r="G71" s="8">
        <v>2</v>
      </c>
      <c r="H71" s="8">
        <v>2</v>
      </c>
      <c r="I71" s="8">
        <v>2</v>
      </c>
      <c r="J71" s="8">
        <v>1535439360</v>
      </c>
      <c r="K71" s="8">
        <v>0</v>
      </c>
      <c r="L71" s="8">
        <v>0</v>
      </c>
      <c r="M71" s="8">
        <v>0</v>
      </c>
      <c r="N71" s="8">
        <v>0</v>
      </c>
      <c r="O71" s="8">
        <v>0</v>
      </c>
      <c r="P71" s="8"/>
      <c r="R71">
        <f t="shared" si="32"/>
        <v>0</v>
      </c>
      <c r="S71">
        <f t="shared" si="33"/>
        <v>0</v>
      </c>
      <c r="T71">
        <f t="shared" si="34"/>
        <v>1</v>
      </c>
      <c r="U71" t="str">
        <f t="shared" si="28"/>
        <v/>
      </c>
      <c r="V71" t="str">
        <f t="shared" si="29"/>
        <v/>
      </c>
      <c r="W71">
        <f t="shared" si="30"/>
        <v>12.2</v>
      </c>
      <c r="X71">
        <f t="shared" si="31"/>
        <v>0</v>
      </c>
      <c r="AK71" s="1"/>
      <c r="AL71" s="1"/>
      <c r="AM71" s="1"/>
      <c r="AN71" s="1"/>
      <c r="AO71" s="7"/>
    </row>
    <row r="72" spans="1:41" x14ac:dyDescent="0.25">
      <c r="A72" s="8">
        <v>22</v>
      </c>
      <c r="B72" s="8">
        <v>8</v>
      </c>
      <c r="C72" s="8">
        <v>86</v>
      </c>
      <c r="D72" s="8">
        <v>1</v>
      </c>
      <c r="E72" s="8">
        <v>61.2</v>
      </c>
      <c r="F72" s="8">
        <v>19</v>
      </c>
      <c r="G72" s="8">
        <v>5.0999999999999996</v>
      </c>
      <c r="H72" s="8">
        <v>4</v>
      </c>
      <c r="I72" s="8">
        <v>7</v>
      </c>
      <c r="J72" s="8">
        <v>54837120</v>
      </c>
      <c r="K72" s="8">
        <v>81806</v>
      </c>
      <c r="L72" s="8">
        <v>34</v>
      </c>
      <c r="M72" s="8">
        <v>1</v>
      </c>
      <c r="N72" s="8">
        <v>8</v>
      </c>
      <c r="O72" s="8">
        <v>10</v>
      </c>
      <c r="P72" s="8"/>
      <c r="R72">
        <f t="shared" si="32"/>
        <v>1</v>
      </c>
      <c r="S72">
        <f t="shared" si="33"/>
        <v>0</v>
      </c>
      <c r="T72">
        <f t="shared" si="34"/>
        <v>0</v>
      </c>
      <c r="U72">
        <f t="shared" si="28"/>
        <v>61.2</v>
      </c>
      <c r="V72" t="str">
        <f t="shared" si="29"/>
        <v/>
      </c>
      <c r="W72" t="str">
        <f t="shared" si="30"/>
        <v/>
      </c>
      <c r="X72">
        <f t="shared" si="31"/>
        <v>1</v>
      </c>
      <c r="AK72" s="1"/>
      <c r="AL72" s="1"/>
      <c r="AM72" s="1"/>
      <c r="AN72" s="1"/>
      <c r="AO72" s="7"/>
    </row>
    <row r="73" spans="1:41" x14ac:dyDescent="0.25">
      <c r="A73" s="8">
        <v>22</v>
      </c>
      <c r="B73" s="8">
        <v>9</v>
      </c>
      <c r="C73" s="8">
        <v>92</v>
      </c>
      <c r="D73" s="8">
        <v>1</v>
      </c>
      <c r="E73" s="8">
        <v>19.3</v>
      </c>
      <c r="F73" s="8">
        <v>332</v>
      </c>
      <c r="G73" s="8">
        <v>8.4</v>
      </c>
      <c r="H73" s="8">
        <v>2</v>
      </c>
      <c r="I73" s="8">
        <v>12</v>
      </c>
      <c r="J73" s="8">
        <v>54837120</v>
      </c>
      <c r="K73" s="8">
        <v>1</v>
      </c>
      <c r="L73" s="8">
        <v>1</v>
      </c>
      <c r="M73" s="8">
        <v>1</v>
      </c>
      <c r="N73" s="8">
        <v>7</v>
      </c>
      <c r="O73" s="8">
        <v>9</v>
      </c>
      <c r="P73" s="8"/>
      <c r="R73">
        <f t="shared" si="32"/>
        <v>1</v>
      </c>
      <c r="S73">
        <f t="shared" si="33"/>
        <v>0</v>
      </c>
      <c r="T73">
        <f t="shared" si="34"/>
        <v>0</v>
      </c>
      <c r="U73">
        <f t="shared" si="28"/>
        <v>19.3</v>
      </c>
      <c r="V73" t="str">
        <f t="shared" si="29"/>
        <v/>
      </c>
      <c r="W73" t="str">
        <f t="shared" si="30"/>
        <v/>
      </c>
      <c r="X73">
        <f t="shared" si="31"/>
        <v>1</v>
      </c>
      <c r="AK73" s="1"/>
      <c r="AL73" s="1"/>
      <c r="AM73" s="1"/>
      <c r="AN73" s="1"/>
      <c r="AO73" s="7"/>
    </row>
    <row r="74" spans="1:41" x14ac:dyDescent="0.25">
      <c r="A74" s="8">
        <v>22</v>
      </c>
      <c r="B74" s="8">
        <v>10</v>
      </c>
      <c r="C74" s="8">
        <v>100</v>
      </c>
      <c r="D74" s="8">
        <v>1</v>
      </c>
      <c r="E74" s="8">
        <v>71.3</v>
      </c>
      <c r="F74" s="8">
        <v>10</v>
      </c>
      <c r="G74" s="8">
        <v>5.8</v>
      </c>
      <c r="H74" s="8">
        <v>3</v>
      </c>
      <c r="I74" s="8">
        <v>7</v>
      </c>
      <c r="J74" s="8">
        <v>54837120</v>
      </c>
      <c r="K74" s="8">
        <v>2012067</v>
      </c>
      <c r="L74" s="8">
        <v>15386</v>
      </c>
      <c r="M74" s="8">
        <v>1</v>
      </c>
      <c r="N74" s="8">
        <v>5</v>
      </c>
      <c r="O74" s="8">
        <v>10</v>
      </c>
      <c r="P74" s="8"/>
      <c r="R74">
        <f t="shared" si="32"/>
        <v>1</v>
      </c>
      <c r="S74">
        <f t="shared" si="33"/>
        <v>0</v>
      </c>
      <c r="T74">
        <f t="shared" si="34"/>
        <v>0</v>
      </c>
      <c r="U74">
        <f t="shared" si="28"/>
        <v>71.3</v>
      </c>
      <c r="V74" t="str">
        <f t="shared" si="29"/>
        <v/>
      </c>
      <c r="W74" t="str">
        <f t="shared" si="30"/>
        <v/>
      </c>
      <c r="X74">
        <f t="shared" si="31"/>
        <v>1</v>
      </c>
      <c r="AK74" s="1"/>
      <c r="AL74" s="1"/>
      <c r="AM74" s="1"/>
      <c r="AN74" s="1"/>
      <c r="AO74" s="7"/>
    </row>
    <row r="75" spans="1:41" x14ac:dyDescent="0.25">
      <c r="A75" s="8">
        <v>22</v>
      </c>
      <c r="B75" s="8">
        <v>11</v>
      </c>
      <c r="C75" s="8">
        <v>87</v>
      </c>
      <c r="D75" s="8">
        <v>1</v>
      </c>
      <c r="E75" s="8">
        <v>29.6</v>
      </c>
      <c r="F75" s="8">
        <v>62</v>
      </c>
      <c r="G75" s="8">
        <v>6.8</v>
      </c>
      <c r="H75" s="8">
        <v>2</v>
      </c>
      <c r="I75" s="8">
        <v>10</v>
      </c>
      <c r="J75" s="8">
        <v>54837120</v>
      </c>
      <c r="K75" s="8">
        <v>124</v>
      </c>
      <c r="L75" s="8">
        <v>1</v>
      </c>
      <c r="M75" s="8">
        <v>1</v>
      </c>
      <c r="N75" s="8">
        <v>6</v>
      </c>
      <c r="O75" s="8">
        <v>9</v>
      </c>
      <c r="P75" s="8"/>
      <c r="R75">
        <f t="shared" si="32"/>
        <v>1</v>
      </c>
      <c r="S75">
        <f t="shared" si="33"/>
        <v>0</v>
      </c>
      <c r="T75">
        <f t="shared" si="34"/>
        <v>0</v>
      </c>
      <c r="U75">
        <f t="shared" si="28"/>
        <v>29.6</v>
      </c>
      <c r="V75" t="str">
        <f t="shared" si="29"/>
        <v/>
      </c>
      <c r="W75" t="str">
        <f t="shared" si="30"/>
        <v/>
      </c>
      <c r="X75">
        <f t="shared" si="31"/>
        <v>1</v>
      </c>
      <c r="AK75" s="1"/>
      <c r="AL75" s="1"/>
      <c r="AM75" s="1"/>
      <c r="AN75" s="1"/>
      <c r="AO75" s="7"/>
    </row>
    <row r="76" spans="1:41" x14ac:dyDescent="0.25">
      <c r="A76" s="8">
        <v>22</v>
      </c>
      <c r="B76" s="8">
        <v>12</v>
      </c>
      <c r="C76" s="8">
        <v>93</v>
      </c>
      <c r="D76" s="8">
        <v>1</v>
      </c>
      <c r="E76" s="8">
        <v>21.3</v>
      </c>
      <c r="F76" s="8">
        <v>42</v>
      </c>
      <c r="G76" s="8">
        <v>5</v>
      </c>
      <c r="H76" s="8">
        <v>3</v>
      </c>
      <c r="I76" s="8">
        <v>7</v>
      </c>
      <c r="J76" s="8">
        <v>54837120</v>
      </c>
      <c r="K76" s="8">
        <v>84</v>
      </c>
      <c r="L76" s="8">
        <v>1</v>
      </c>
      <c r="M76" s="8">
        <v>1</v>
      </c>
      <c r="N76" s="8">
        <v>8</v>
      </c>
      <c r="O76" s="8">
        <v>9</v>
      </c>
      <c r="P76" s="8"/>
      <c r="R76">
        <f t="shared" si="32"/>
        <v>1</v>
      </c>
      <c r="S76">
        <f t="shared" si="33"/>
        <v>0</v>
      </c>
      <c r="T76">
        <f t="shared" si="34"/>
        <v>0</v>
      </c>
      <c r="U76">
        <f t="shared" si="28"/>
        <v>21.3</v>
      </c>
      <c r="V76" t="str">
        <f t="shared" si="29"/>
        <v/>
      </c>
      <c r="W76" t="str">
        <f t="shared" si="30"/>
        <v/>
      </c>
      <c r="X76">
        <f t="shared" si="31"/>
        <v>1</v>
      </c>
      <c r="AK76" s="1"/>
      <c r="AL76" s="1"/>
      <c r="AM76" s="1"/>
      <c r="AN76" s="1"/>
      <c r="AO76" s="7"/>
    </row>
    <row r="77" spans="1:41" x14ac:dyDescent="0.25">
      <c r="A77" s="8">
        <v>22</v>
      </c>
      <c r="B77" s="8">
        <v>13</v>
      </c>
      <c r="C77" s="8">
        <v>36</v>
      </c>
      <c r="D77" s="8">
        <v>1</v>
      </c>
      <c r="E77" s="8">
        <v>38.700000000000003</v>
      </c>
      <c r="F77" s="8">
        <v>36</v>
      </c>
      <c r="G77" s="8">
        <v>7.3</v>
      </c>
      <c r="H77" s="8">
        <v>2</v>
      </c>
      <c r="I77" s="8">
        <v>8</v>
      </c>
      <c r="J77" s="8">
        <v>54837120</v>
      </c>
      <c r="K77" s="8">
        <v>92902</v>
      </c>
      <c r="L77" s="8">
        <v>2433</v>
      </c>
      <c r="M77" s="8">
        <v>1</v>
      </c>
      <c r="N77" s="8">
        <v>5</v>
      </c>
      <c r="O77" s="8">
        <v>10</v>
      </c>
      <c r="P77" s="8"/>
      <c r="R77">
        <f t="shared" si="32"/>
        <v>1</v>
      </c>
      <c r="S77">
        <f t="shared" si="33"/>
        <v>0</v>
      </c>
      <c r="T77">
        <f t="shared" si="34"/>
        <v>0</v>
      </c>
      <c r="U77">
        <f t="shared" si="28"/>
        <v>38.700000000000003</v>
      </c>
      <c r="V77" t="str">
        <f t="shared" si="29"/>
        <v/>
      </c>
      <c r="W77" t="str">
        <f t="shared" si="30"/>
        <v/>
      </c>
      <c r="X77">
        <f t="shared" si="31"/>
        <v>1</v>
      </c>
      <c r="AK77" s="1"/>
      <c r="AL77" s="1"/>
      <c r="AM77" s="1"/>
      <c r="AN77" s="1"/>
      <c r="AO77" s="7"/>
    </row>
    <row r="78" spans="1:41" x14ac:dyDescent="0.25">
      <c r="A78" s="8">
        <v>22</v>
      </c>
      <c r="B78" s="8">
        <v>14</v>
      </c>
      <c r="C78" s="8">
        <v>90</v>
      </c>
      <c r="D78" s="8">
        <v>1</v>
      </c>
      <c r="E78" s="8">
        <v>25.4</v>
      </c>
      <c r="F78" s="8">
        <v>31</v>
      </c>
      <c r="G78" s="8">
        <v>5.5</v>
      </c>
      <c r="H78" s="8">
        <v>3</v>
      </c>
      <c r="I78" s="8">
        <v>7</v>
      </c>
      <c r="J78" s="8">
        <v>54837120</v>
      </c>
      <c r="K78" s="8">
        <v>81618</v>
      </c>
      <c r="L78" s="8">
        <v>2357</v>
      </c>
      <c r="M78" s="8">
        <v>2</v>
      </c>
      <c r="N78" s="8">
        <v>5</v>
      </c>
      <c r="O78" s="8">
        <v>9</v>
      </c>
      <c r="P78" s="8"/>
      <c r="R78">
        <f t="shared" si="32"/>
        <v>1</v>
      </c>
      <c r="S78">
        <f t="shared" si="33"/>
        <v>0</v>
      </c>
      <c r="T78">
        <f t="shared" si="34"/>
        <v>0</v>
      </c>
      <c r="U78">
        <f t="shared" si="28"/>
        <v>25.4</v>
      </c>
      <c r="V78" t="str">
        <f t="shared" si="29"/>
        <v/>
      </c>
      <c r="W78" t="str">
        <f t="shared" si="30"/>
        <v/>
      </c>
      <c r="X78">
        <f t="shared" si="31"/>
        <v>1</v>
      </c>
      <c r="AK78" s="1"/>
      <c r="AL78" s="1"/>
      <c r="AM78" s="1"/>
      <c r="AN78" s="1"/>
      <c r="AO78" s="7"/>
    </row>
    <row r="79" spans="1:41" x14ac:dyDescent="0.25">
      <c r="A79" s="8">
        <v>22</v>
      </c>
      <c r="B79" s="8">
        <v>15</v>
      </c>
      <c r="C79" s="8">
        <v>95</v>
      </c>
      <c r="D79" s="8">
        <v>1</v>
      </c>
      <c r="E79" s="8">
        <v>28.4</v>
      </c>
      <c r="F79" s="8">
        <v>56</v>
      </c>
      <c r="G79" s="8">
        <v>5.9</v>
      </c>
      <c r="H79" s="8">
        <v>3</v>
      </c>
      <c r="I79" s="8">
        <v>7</v>
      </c>
      <c r="J79" s="8">
        <v>54837120</v>
      </c>
      <c r="K79" s="8">
        <v>3128</v>
      </c>
      <c r="L79" s="8">
        <v>7</v>
      </c>
      <c r="M79" s="8">
        <v>1</v>
      </c>
      <c r="N79" s="8">
        <v>7</v>
      </c>
      <c r="O79" s="8">
        <v>9</v>
      </c>
      <c r="P79" s="8"/>
      <c r="R79">
        <f t="shared" si="32"/>
        <v>1</v>
      </c>
      <c r="S79">
        <f t="shared" si="33"/>
        <v>0</v>
      </c>
      <c r="T79">
        <f t="shared" si="34"/>
        <v>0</v>
      </c>
      <c r="U79">
        <f t="shared" si="28"/>
        <v>28.4</v>
      </c>
      <c r="V79" t="str">
        <f t="shared" si="29"/>
        <v/>
      </c>
      <c r="W79" t="str">
        <f t="shared" si="30"/>
        <v/>
      </c>
      <c r="X79">
        <f t="shared" si="31"/>
        <v>1</v>
      </c>
      <c r="AK79" s="1"/>
      <c r="AL79" s="1"/>
      <c r="AM79" s="1"/>
      <c r="AN79" s="1"/>
      <c r="AO79" s="7"/>
    </row>
    <row r="80" spans="1:41" x14ac:dyDescent="0.25">
      <c r="A80" s="8">
        <v>22</v>
      </c>
      <c r="B80" s="8">
        <v>16</v>
      </c>
      <c r="C80" s="8">
        <v>93</v>
      </c>
      <c r="D80" s="8">
        <v>1</v>
      </c>
      <c r="E80" s="8">
        <v>80.5</v>
      </c>
      <c r="F80" s="8">
        <v>5</v>
      </c>
      <c r="G80" s="8">
        <v>2.6</v>
      </c>
      <c r="H80" s="8">
        <v>2</v>
      </c>
      <c r="I80" s="8">
        <v>3</v>
      </c>
      <c r="J80" s="8">
        <v>54837120</v>
      </c>
      <c r="K80" s="8">
        <v>2108045</v>
      </c>
      <c r="L80" s="8">
        <v>1182089</v>
      </c>
      <c r="M80" s="8">
        <v>1</v>
      </c>
      <c r="N80" s="8">
        <v>2</v>
      </c>
      <c r="O80" s="8">
        <v>10</v>
      </c>
      <c r="P80" s="8"/>
      <c r="R80">
        <f t="shared" si="32"/>
        <v>1</v>
      </c>
      <c r="S80">
        <f t="shared" si="33"/>
        <v>0</v>
      </c>
      <c r="T80">
        <f t="shared" si="34"/>
        <v>0</v>
      </c>
      <c r="U80">
        <f t="shared" si="28"/>
        <v>80.5</v>
      </c>
      <c r="V80" t="str">
        <f t="shared" si="29"/>
        <v/>
      </c>
      <c r="W80" t="str">
        <f t="shared" si="30"/>
        <v/>
      </c>
      <c r="X80">
        <f t="shared" si="31"/>
        <v>1</v>
      </c>
      <c r="AK80" s="1"/>
      <c r="AL80" s="1"/>
      <c r="AM80" s="1"/>
      <c r="AN80" s="1"/>
      <c r="AO80" s="7"/>
    </row>
    <row r="81" spans="1:41" x14ac:dyDescent="0.25">
      <c r="A81" s="8">
        <v>22</v>
      </c>
      <c r="B81" s="8">
        <v>17</v>
      </c>
      <c r="C81" s="8">
        <v>100</v>
      </c>
      <c r="D81" s="8">
        <v>1</v>
      </c>
      <c r="E81" s="8">
        <v>78.599999999999994</v>
      </c>
      <c r="F81" s="8">
        <v>13</v>
      </c>
      <c r="G81" s="8">
        <v>8.4</v>
      </c>
      <c r="H81" s="8">
        <v>3</v>
      </c>
      <c r="I81" s="8">
        <v>10</v>
      </c>
      <c r="J81" s="8">
        <v>54837120</v>
      </c>
      <c r="K81" s="8">
        <v>2016853</v>
      </c>
      <c r="L81" s="8">
        <v>74</v>
      </c>
      <c r="M81" s="8">
        <v>1</v>
      </c>
      <c r="N81" s="8">
        <v>7</v>
      </c>
      <c r="O81" s="8">
        <v>10</v>
      </c>
      <c r="P81" s="8"/>
      <c r="R81">
        <f t="shared" si="32"/>
        <v>1</v>
      </c>
      <c r="S81">
        <f t="shared" si="33"/>
        <v>0</v>
      </c>
      <c r="T81">
        <f t="shared" si="34"/>
        <v>0</v>
      </c>
      <c r="U81">
        <f t="shared" si="28"/>
        <v>78.599999999999994</v>
      </c>
      <c r="V81" t="str">
        <f t="shared" si="29"/>
        <v/>
      </c>
      <c r="W81" t="str">
        <f t="shared" si="30"/>
        <v/>
      </c>
      <c r="X81">
        <f t="shared" si="31"/>
        <v>1</v>
      </c>
      <c r="AK81" s="1"/>
      <c r="AL81" s="1"/>
      <c r="AM81" s="1"/>
      <c r="AN81" s="1"/>
      <c r="AO81" s="7"/>
    </row>
    <row r="82" spans="1:41" x14ac:dyDescent="0.25">
      <c r="A82" s="8">
        <v>22</v>
      </c>
      <c r="B82" s="8">
        <v>18</v>
      </c>
      <c r="C82" s="8">
        <v>100</v>
      </c>
      <c r="D82" s="8">
        <v>1</v>
      </c>
      <c r="E82" s="8">
        <v>38.799999999999997</v>
      </c>
      <c r="F82" s="8">
        <v>21</v>
      </c>
      <c r="G82" s="8">
        <v>6.7</v>
      </c>
      <c r="H82" s="8">
        <v>2</v>
      </c>
      <c r="I82" s="8">
        <v>8</v>
      </c>
      <c r="J82" s="8">
        <v>54837120</v>
      </c>
      <c r="K82" s="8">
        <v>87227</v>
      </c>
      <c r="L82" s="8">
        <v>115</v>
      </c>
      <c r="M82" s="8">
        <v>1</v>
      </c>
      <c r="N82" s="8">
        <v>6</v>
      </c>
      <c r="O82" s="8">
        <v>10</v>
      </c>
      <c r="P82" s="8"/>
      <c r="R82">
        <f t="shared" si="32"/>
        <v>1</v>
      </c>
      <c r="S82">
        <f t="shared" si="33"/>
        <v>0</v>
      </c>
      <c r="T82">
        <f t="shared" si="34"/>
        <v>0</v>
      </c>
      <c r="U82">
        <f t="shared" si="28"/>
        <v>38.799999999999997</v>
      </c>
      <c r="V82" t="str">
        <f t="shared" si="29"/>
        <v/>
      </c>
      <c r="W82" t="str">
        <f t="shared" si="30"/>
        <v/>
      </c>
      <c r="X82">
        <f t="shared" si="31"/>
        <v>1</v>
      </c>
      <c r="AK82" s="1"/>
      <c r="AL82" s="1"/>
      <c r="AM82" s="1"/>
      <c r="AN82" s="1"/>
      <c r="AO82" s="7"/>
    </row>
    <row r="83" spans="1:41" x14ac:dyDescent="0.25">
      <c r="A83" s="8">
        <v>22</v>
      </c>
      <c r="B83" s="8">
        <v>19</v>
      </c>
      <c r="C83" s="8">
        <v>100</v>
      </c>
      <c r="D83" s="8">
        <v>1</v>
      </c>
      <c r="E83" s="8">
        <v>27.6</v>
      </c>
      <c r="F83" s="8">
        <v>8</v>
      </c>
      <c r="G83" s="8">
        <v>2.8</v>
      </c>
      <c r="H83" s="8">
        <v>2</v>
      </c>
      <c r="I83" s="8">
        <v>3</v>
      </c>
      <c r="J83" s="8">
        <v>54837120</v>
      </c>
      <c r="K83" s="8">
        <v>1309040</v>
      </c>
      <c r="L83" s="8">
        <v>376977</v>
      </c>
      <c r="M83" s="8">
        <v>5</v>
      </c>
      <c r="N83" s="8">
        <v>3</v>
      </c>
      <c r="O83" s="8">
        <v>10</v>
      </c>
      <c r="P83" s="8"/>
      <c r="R83">
        <f t="shared" si="32"/>
        <v>1</v>
      </c>
      <c r="S83">
        <f t="shared" si="33"/>
        <v>0</v>
      </c>
      <c r="T83">
        <f t="shared" si="34"/>
        <v>0</v>
      </c>
      <c r="U83">
        <f t="shared" si="28"/>
        <v>27.6</v>
      </c>
      <c r="V83" t="str">
        <f t="shared" si="29"/>
        <v/>
      </c>
      <c r="W83" t="str">
        <f t="shared" si="30"/>
        <v/>
      </c>
      <c r="X83">
        <f t="shared" si="31"/>
        <v>1</v>
      </c>
      <c r="AK83" s="1"/>
      <c r="AL83" s="1"/>
      <c r="AM83" s="1"/>
      <c r="AN83" s="1"/>
      <c r="AO83" s="7"/>
    </row>
    <row r="84" spans="1:41" x14ac:dyDescent="0.25">
      <c r="A84" s="8">
        <v>22</v>
      </c>
      <c r="B84" s="8">
        <v>20</v>
      </c>
      <c r="C84" s="8">
        <v>93</v>
      </c>
      <c r="D84" s="8">
        <v>1</v>
      </c>
      <c r="E84" s="8">
        <v>40.799999999999997</v>
      </c>
      <c r="F84" s="8">
        <v>21</v>
      </c>
      <c r="G84" s="8">
        <v>5.7</v>
      </c>
      <c r="H84" s="8">
        <v>3</v>
      </c>
      <c r="I84" s="8">
        <v>7</v>
      </c>
      <c r="J84" s="8">
        <v>54837120</v>
      </c>
      <c r="K84" s="8">
        <v>1290075</v>
      </c>
      <c r="L84" s="8">
        <v>26939</v>
      </c>
      <c r="M84" s="8">
        <v>2</v>
      </c>
      <c r="N84" s="8">
        <v>4</v>
      </c>
      <c r="O84" s="8">
        <v>10</v>
      </c>
      <c r="P84" s="8"/>
      <c r="R84">
        <f t="shared" si="32"/>
        <v>1</v>
      </c>
      <c r="S84">
        <f t="shared" si="33"/>
        <v>0</v>
      </c>
      <c r="T84">
        <f t="shared" si="34"/>
        <v>0</v>
      </c>
      <c r="U84">
        <f t="shared" si="28"/>
        <v>40.799999999999997</v>
      </c>
      <c r="V84" t="str">
        <f t="shared" si="29"/>
        <v/>
      </c>
      <c r="W84" t="str">
        <f t="shared" si="30"/>
        <v/>
      </c>
      <c r="X84">
        <f t="shared" si="31"/>
        <v>1</v>
      </c>
      <c r="AK84" s="1"/>
      <c r="AL84" s="1"/>
      <c r="AM84" s="1"/>
      <c r="AN84" s="1"/>
      <c r="AO84" s="7"/>
    </row>
    <row r="85" spans="1:41" x14ac:dyDescent="0.25">
      <c r="A85" s="8">
        <v>22</v>
      </c>
      <c r="B85" s="8">
        <v>21</v>
      </c>
      <c r="C85" s="8">
        <v>100</v>
      </c>
      <c r="D85" s="8">
        <v>1</v>
      </c>
      <c r="E85" s="8">
        <v>19.399999999999999</v>
      </c>
      <c r="F85" s="8">
        <v>16</v>
      </c>
      <c r="G85" s="8">
        <v>3.2</v>
      </c>
      <c r="H85" s="8">
        <v>3</v>
      </c>
      <c r="I85" s="8">
        <v>4</v>
      </c>
      <c r="J85" s="8">
        <v>54837120</v>
      </c>
      <c r="K85" s="8">
        <v>51408</v>
      </c>
      <c r="L85" s="8">
        <v>4696</v>
      </c>
      <c r="M85" s="8">
        <v>6</v>
      </c>
      <c r="N85" s="8">
        <v>5</v>
      </c>
      <c r="O85" s="8">
        <v>10</v>
      </c>
      <c r="P85" s="8"/>
      <c r="R85">
        <f t="shared" si="32"/>
        <v>1</v>
      </c>
      <c r="S85">
        <f t="shared" si="33"/>
        <v>0</v>
      </c>
      <c r="T85">
        <f t="shared" si="34"/>
        <v>0</v>
      </c>
      <c r="U85">
        <f t="shared" si="28"/>
        <v>19.399999999999999</v>
      </c>
      <c r="V85" t="str">
        <f t="shared" si="29"/>
        <v/>
      </c>
      <c r="W85" t="str">
        <f t="shared" si="30"/>
        <v/>
      </c>
      <c r="X85">
        <f t="shared" si="31"/>
        <v>1</v>
      </c>
      <c r="AK85" s="1"/>
      <c r="AL85" s="1"/>
      <c r="AM85" s="1"/>
      <c r="AN85" s="1"/>
      <c r="AO85" s="7"/>
    </row>
    <row r="86" spans="1:41" x14ac:dyDescent="0.25">
      <c r="A86" s="8">
        <v>22</v>
      </c>
      <c r="B86" s="8">
        <v>22</v>
      </c>
      <c r="C86" s="8">
        <v>93</v>
      </c>
      <c r="D86" s="8">
        <v>1</v>
      </c>
      <c r="E86" s="8">
        <v>19.399999999999999</v>
      </c>
      <c r="F86" s="8">
        <v>24</v>
      </c>
      <c r="G86" s="8">
        <v>3.7</v>
      </c>
      <c r="H86" s="8">
        <v>2</v>
      </c>
      <c r="I86" s="8">
        <v>5</v>
      </c>
      <c r="J86" s="8">
        <v>54837120</v>
      </c>
      <c r="K86" s="8">
        <v>3199</v>
      </c>
      <c r="L86" s="8">
        <v>243</v>
      </c>
      <c r="M86" s="8">
        <v>1</v>
      </c>
      <c r="N86" s="8">
        <v>5</v>
      </c>
      <c r="O86" s="8">
        <v>9</v>
      </c>
      <c r="P86" s="8"/>
      <c r="R86">
        <f t="shared" si="32"/>
        <v>1</v>
      </c>
      <c r="S86">
        <f t="shared" si="33"/>
        <v>0</v>
      </c>
      <c r="T86">
        <f t="shared" si="34"/>
        <v>0</v>
      </c>
      <c r="U86">
        <f t="shared" si="28"/>
        <v>19.399999999999999</v>
      </c>
      <c r="V86" t="str">
        <f t="shared" si="29"/>
        <v/>
      </c>
      <c r="W86" t="str">
        <f t="shared" si="30"/>
        <v/>
      </c>
      <c r="X86">
        <f t="shared" si="31"/>
        <v>1</v>
      </c>
      <c r="AK86" s="1"/>
      <c r="AL86" s="1"/>
      <c r="AM86" s="1"/>
      <c r="AN86" s="1"/>
      <c r="AO86" s="7"/>
    </row>
    <row r="87" spans="1:41" x14ac:dyDescent="0.25">
      <c r="A87" s="8">
        <v>22</v>
      </c>
      <c r="B87" s="8">
        <v>23</v>
      </c>
      <c r="C87" s="8">
        <v>0</v>
      </c>
      <c r="D87" s="8">
        <v>3</v>
      </c>
      <c r="E87" s="8">
        <v>12.2</v>
      </c>
      <c r="F87" s="8">
        <v>8</v>
      </c>
      <c r="G87" s="8">
        <v>2</v>
      </c>
      <c r="H87" s="8">
        <v>2</v>
      </c>
      <c r="I87" s="8">
        <v>2</v>
      </c>
      <c r="J87" s="8">
        <v>1535439360</v>
      </c>
      <c r="K87" s="8">
        <v>0</v>
      </c>
      <c r="L87" s="8">
        <v>0</v>
      </c>
      <c r="M87" s="8">
        <v>0</v>
      </c>
      <c r="N87" s="8">
        <v>0</v>
      </c>
      <c r="O87" s="8">
        <v>0</v>
      </c>
      <c r="P87" s="8"/>
      <c r="R87">
        <f t="shared" si="32"/>
        <v>0</v>
      </c>
      <c r="S87">
        <f t="shared" si="33"/>
        <v>0</v>
      </c>
      <c r="T87">
        <f t="shared" si="34"/>
        <v>1</v>
      </c>
      <c r="U87" t="str">
        <f t="shared" si="28"/>
        <v/>
      </c>
      <c r="V87" t="str">
        <f t="shared" si="29"/>
        <v/>
      </c>
      <c r="W87">
        <f t="shared" si="30"/>
        <v>12.2</v>
      </c>
      <c r="X87">
        <f t="shared" si="31"/>
        <v>0</v>
      </c>
      <c r="AK87" s="1"/>
      <c r="AL87" s="1"/>
      <c r="AM87" s="1"/>
      <c r="AN87" s="1"/>
      <c r="AO87" s="7"/>
    </row>
    <row r="88" spans="1:41" x14ac:dyDescent="0.25">
      <c r="A88" s="8">
        <v>22</v>
      </c>
      <c r="B88" s="8">
        <v>24</v>
      </c>
      <c r="C88" s="8">
        <v>100</v>
      </c>
      <c r="D88" s="8">
        <v>1</v>
      </c>
      <c r="E88" s="8">
        <v>53</v>
      </c>
      <c r="F88" s="8">
        <v>22</v>
      </c>
      <c r="G88" s="8">
        <v>6.8</v>
      </c>
      <c r="H88" s="8">
        <v>2</v>
      </c>
      <c r="I88" s="8">
        <v>9</v>
      </c>
      <c r="J88" s="8">
        <v>54837120</v>
      </c>
      <c r="K88" s="8">
        <v>2025307</v>
      </c>
      <c r="L88" s="8">
        <v>15973</v>
      </c>
      <c r="M88" s="8">
        <v>1</v>
      </c>
      <c r="N88" s="8">
        <v>5</v>
      </c>
      <c r="O88" s="8">
        <v>10</v>
      </c>
      <c r="P88" s="8"/>
      <c r="R88">
        <f t="shared" si="32"/>
        <v>1</v>
      </c>
      <c r="S88">
        <f t="shared" si="33"/>
        <v>0</v>
      </c>
      <c r="T88">
        <f t="shared" si="34"/>
        <v>0</v>
      </c>
      <c r="U88">
        <f t="shared" si="28"/>
        <v>53</v>
      </c>
      <c r="V88" t="str">
        <f t="shared" si="29"/>
        <v/>
      </c>
      <c r="W88" t="str">
        <f t="shared" si="30"/>
        <v/>
      </c>
      <c r="X88">
        <f t="shared" si="31"/>
        <v>1</v>
      </c>
      <c r="AK88" s="1"/>
      <c r="AL88" s="1"/>
      <c r="AM88" s="1"/>
      <c r="AN88" s="1"/>
      <c r="AO88" s="7"/>
    </row>
    <row r="89" spans="1:41" x14ac:dyDescent="0.25">
      <c r="A89" s="8">
        <v>22</v>
      </c>
      <c r="B89" s="8">
        <v>25</v>
      </c>
      <c r="C89" s="8">
        <v>100</v>
      </c>
      <c r="D89" s="8">
        <v>1</v>
      </c>
      <c r="E89" s="8">
        <v>29.7</v>
      </c>
      <c r="F89" s="8">
        <v>36</v>
      </c>
      <c r="G89" s="8">
        <v>5.4</v>
      </c>
      <c r="H89" s="8">
        <v>4</v>
      </c>
      <c r="I89" s="8">
        <v>7</v>
      </c>
      <c r="J89" s="8">
        <v>54837120</v>
      </c>
      <c r="K89" s="8">
        <v>81657</v>
      </c>
      <c r="L89" s="8">
        <v>6780</v>
      </c>
      <c r="M89" s="8">
        <v>8</v>
      </c>
      <c r="N89" s="8">
        <v>4</v>
      </c>
      <c r="O89" s="8">
        <v>10</v>
      </c>
      <c r="P89" s="8"/>
      <c r="R89">
        <f t="shared" si="32"/>
        <v>1</v>
      </c>
      <c r="S89">
        <f t="shared" si="33"/>
        <v>0</v>
      </c>
      <c r="T89">
        <f t="shared" si="34"/>
        <v>0</v>
      </c>
      <c r="U89">
        <f t="shared" si="28"/>
        <v>29.7</v>
      </c>
      <c r="V89" t="str">
        <f t="shared" si="29"/>
        <v/>
      </c>
      <c r="W89" t="str">
        <f t="shared" si="30"/>
        <v/>
      </c>
      <c r="X89">
        <f t="shared" si="31"/>
        <v>1</v>
      </c>
      <c r="AK89" s="1"/>
      <c r="AL89" s="1"/>
      <c r="AM89" s="1"/>
      <c r="AN89" s="1"/>
      <c r="AO89" s="7"/>
    </row>
    <row r="90" spans="1:41" x14ac:dyDescent="0.25">
      <c r="A90" s="8">
        <v>22</v>
      </c>
      <c r="B90" s="8">
        <v>26</v>
      </c>
      <c r="C90" s="8">
        <v>50</v>
      </c>
      <c r="D90" s="8">
        <v>1</v>
      </c>
      <c r="E90" s="8">
        <v>30.7</v>
      </c>
      <c r="F90" s="8">
        <v>34</v>
      </c>
      <c r="G90" s="8">
        <v>5.3</v>
      </c>
      <c r="H90" s="8">
        <v>3</v>
      </c>
      <c r="I90" s="8">
        <v>7</v>
      </c>
      <c r="J90" s="8">
        <v>54837120</v>
      </c>
      <c r="K90" s="8">
        <v>50818</v>
      </c>
      <c r="L90" s="8">
        <v>1700</v>
      </c>
      <c r="M90" s="8">
        <v>1</v>
      </c>
      <c r="N90" s="8">
        <v>3</v>
      </c>
      <c r="O90" s="8">
        <v>9</v>
      </c>
      <c r="P90" s="8"/>
      <c r="R90">
        <f t="shared" si="32"/>
        <v>1</v>
      </c>
      <c r="S90">
        <f t="shared" si="33"/>
        <v>0</v>
      </c>
      <c r="T90">
        <f t="shared" si="34"/>
        <v>0</v>
      </c>
      <c r="U90">
        <f t="shared" si="28"/>
        <v>30.7</v>
      </c>
      <c r="V90" t="str">
        <f t="shared" si="29"/>
        <v/>
      </c>
      <c r="W90" t="str">
        <f t="shared" si="30"/>
        <v/>
      </c>
      <c r="X90">
        <f t="shared" si="31"/>
        <v>1</v>
      </c>
      <c r="AK90" s="1"/>
      <c r="AL90" s="1"/>
      <c r="AM90" s="1"/>
      <c r="AN90" s="1"/>
      <c r="AO90" s="7"/>
    </row>
    <row r="91" spans="1:41" x14ac:dyDescent="0.25">
      <c r="A91" s="8">
        <v>22</v>
      </c>
      <c r="B91" s="8">
        <v>27</v>
      </c>
      <c r="C91" s="8">
        <v>60</v>
      </c>
      <c r="D91" s="8">
        <v>1</v>
      </c>
      <c r="E91" s="8">
        <v>19.3</v>
      </c>
      <c r="F91" s="8">
        <v>52</v>
      </c>
      <c r="G91" s="8">
        <v>5.3</v>
      </c>
      <c r="H91" s="8">
        <v>2</v>
      </c>
      <c r="I91" s="8">
        <v>7</v>
      </c>
      <c r="J91" s="8">
        <v>54837120</v>
      </c>
      <c r="K91" s="8">
        <v>3465</v>
      </c>
      <c r="L91" s="8">
        <v>75</v>
      </c>
      <c r="M91" s="8">
        <v>2</v>
      </c>
      <c r="N91" s="8">
        <v>4</v>
      </c>
      <c r="O91" s="8">
        <v>8</v>
      </c>
      <c r="P91" s="8"/>
      <c r="R91">
        <f t="shared" si="32"/>
        <v>1</v>
      </c>
      <c r="S91">
        <f t="shared" si="33"/>
        <v>0</v>
      </c>
      <c r="T91">
        <f t="shared" si="34"/>
        <v>0</v>
      </c>
      <c r="U91">
        <f t="shared" si="28"/>
        <v>19.3</v>
      </c>
      <c r="V91" t="str">
        <f t="shared" si="29"/>
        <v/>
      </c>
      <c r="W91" t="str">
        <f t="shared" si="30"/>
        <v/>
      </c>
      <c r="X91">
        <f t="shared" si="31"/>
        <v>1</v>
      </c>
      <c r="AK91" s="1"/>
      <c r="AL91" s="1"/>
      <c r="AM91" s="1"/>
      <c r="AN91" s="1"/>
      <c r="AO91" s="7"/>
    </row>
    <row r="92" spans="1:41" x14ac:dyDescent="0.25">
      <c r="A92" s="8">
        <v>22</v>
      </c>
      <c r="B92" s="8">
        <v>28</v>
      </c>
      <c r="C92" s="8">
        <v>100</v>
      </c>
      <c r="D92" s="8">
        <v>2</v>
      </c>
      <c r="E92" s="8">
        <v>39.9</v>
      </c>
      <c r="F92" s="8">
        <v>31</v>
      </c>
      <c r="G92" s="8">
        <v>5.5</v>
      </c>
      <c r="H92" s="8">
        <v>4</v>
      </c>
      <c r="I92" s="8">
        <v>7</v>
      </c>
      <c r="J92" s="8">
        <v>109674240</v>
      </c>
      <c r="K92" s="8">
        <v>79573</v>
      </c>
      <c r="L92" s="8">
        <v>2399</v>
      </c>
      <c r="M92" s="8">
        <v>1</v>
      </c>
      <c r="N92" s="8">
        <v>6</v>
      </c>
      <c r="O92" s="8">
        <v>10</v>
      </c>
      <c r="P92" s="8"/>
      <c r="R92">
        <f t="shared" si="32"/>
        <v>0</v>
      </c>
      <c r="S92">
        <f t="shared" si="33"/>
        <v>1</v>
      </c>
      <c r="T92">
        <f t="shared" si="34"/>
        <v>0</v>
      </c>
      <c r="U92" t="str">
        <f t="shared" si="28"/>
        <v/>
      </c>
      <c r="V92">
        <f t="shared" si="29"/>
        <v>39.9</v>
      </c>
      <c r="W92" t="str">
        <f t="shared" si="30"/>
        <v/>
      </c>
      <c r="X92">
        <f t="shared" si="31"/>
        <v>1</v>
      </c>
      <c r="AK92" s="1"/>
      <c r="AL92" s="1"/>
      <c r="AM92" s="1"/>
      <c r="AN92" s="1"/>
      <c r="AO92" s="7"/>
    </row>
    <row r="93" spans="1:41" x14ac:dyDescent="0.25">
      <c r="A93" s="8">
        <v>22</v>
      </c>
      <c r="B93" s="8">
        <v>29</v>
      </c>
      <c r="C93" s="8">
        <v>90</v>
      </c>
      <c r="D93" s="8">
        <v>1</v>
      </c>
      <c r="E93" s="8">
        <v>31.8</v>
      </c>
      <c r="F93" s="8">
        <v>15</v>
      </c>
      <c r="G93" s="8">
        <v>3.8</v>
      </c>
      <c r="H93" s="8">
        <v>3</v>
      </c>
      <c r="I93" s="8">
        <v>4</v>
      </c>
      <c r="J93" s="8">
        <v>54837120</v>
      </c>
      <c r="K93" s="8">
        <v>1295956</v>
      </c>
      <c r="L93" s="8">
        <v>222315</v>
      </c>
      <c r="M93" s="8">
        <v>2</v>
      </c>
      <c r="N93" s="8">
        <v>3</v>
      </c>
      <c r="O93" s="8">
        <v>9</v>
      </c>
      <c r="P93" s="8"/>
      <c r="R93">
        <f t="shared" si="32"/>
        <v>1</v>
      </c>
      <c r="S93">
        <f t="shared" si="33"/>
        <v>0</v>
      </c>
      <c r="T93">
        <f t="shared" si="34"/>
        <v>0</v>
      </c>
      <c r="U93">
        <f t="shared" si="28"/>
        <v>31.8</v>
      </c>
      <c r="V93" t="str">
        <f t="shared" si="29"/>
        <v/>
      </c>
      <c r="W93" t="str">
        <f t="shared" si="30"/>
        <v/>
      </c>
      <c r="X93">
        <f t="shared" si="31"/>
        <v>1</v>
      </c>
      <c r="AK93" s="1"/>
      <c r="AL93" s="1"/>
      <c r="AM93" s="1"/>
      <c r="AN93" s="1"/>
      <c r="AO93" s="7"/>
    </row>
    <row r="94" spans="1:41" x14ac:dyDescent="0.25">
      <c r="A94" s="8">
        <v>23</v>
      </c>
      <c r="B94" s="8">
        <v>0</v>
      </c>
      <c r="C94" s="8">
        <v>100</v>
      </c>
      <c r="D94" s="8">
        <v>1</v>
      </c>
      <c r="E94" s="8">
        <v>25.5</v>
      </c>
      <c r="F94" s="8">
        <v>118</v>
      </c>
      <c r="G94" s="8">
        <v>6.9</v>
      </c>
      <c r="H94" s="8">
        <v>2</v>
      </c>
      <c r="I94" s="8">
        <v>10</v>
      </c>
      <c r="J94" s="8">
        <v>54837120</v>
      </c>
      <c r="K94" s="8">
        <v>107</v>
      </c>
      <c r="L94" s="8">
        <v>1</v>
      </c>
      <c r="M94" s="8">
        <v>1</v>
      </c>
      <c r="N94" s="8">
        <v>8</v>
      </c>
      <c r="O94" s="8">
        <v>10</v>
      </c>
      <c r="P94" s="8"/>
      <c r="R94">
        <f>IF(D94=1,1,0)</f>
        <v>1</v>
      </c>
      <c r="S94">
        <f>IF(D94=2,1,0)</f>
        <v>0</v>
      </c>
      <c r="T94">
        <f>IF(D94=3,1,0)</f>
        <v>0</v>
      </c>
      <c r="U94">
        <f t="shared" si="28"/>
        <v>25.5</v>
      </c>
      <c r="V94" t="str">
        <f t="shared" si="29"/>
        <v/>
      </c>
      <c r="W94" t="str">
        <f t="shared" si="30"/>
        <v/>
      </c>
      <c r="X94">
        <f t="shared" si="31"/>
        <v>1</v>
      </c>
    </row>
    <row r="95" spans="1:41" x14ac:dyDescent="0.25">
      <c r="A95" s="8">
        <v>23</v>
      </c>
      <c r="B95" s="8">
        <v>1</v>
      </c>
      <c r="C95" s="8">
        <v>0</v>
      </c>
      <c r="D95" s="8">
        <v>3</v>
      </c>
      <c r="E95" s="8">
        <v>951.2</v>
      </c>
      <c r="F95" s="8">
        <v>16</v>
      </c>
      <c r="G95" s="8">
        <v>4.5999999999999996</v>
      </c>
      <c r="H95" s="8">
        <v>2</v>
      </c>
      <c r="I95" s="8">
        <v>6</v>
      </c>
      <c r="J95" s="8">
        <v>1535439360</v>
      </c>
      <c r="K95" s="8">
        <v>52636746</v>
      </c>
      <c r="L95" s="8">
        <v>9563817</v>
      </c>
      <c r="M95" s="8">
        <v>0</v>
      </c>
      <c r="N95" s="8">
        <v>0</v>
      </c>
      <c r="O95" s="8">
        <v>0</v>
      </c>
      <c r="P95" s="8"/>
      <c r="R95">
        <f t="shared" ref="R95:R158" si="35">IF(D95=1,1,0)</f>
        <v>0</v>
      </c>
      <c r="S95">
        <f t="shared" ref="S95:S158" si="36">IF(D95=2,1,0)</f>
        <v>0</v>
      </c>
      <c r="T95">
        <f t="shared" ref="T95:T158" si="37">IF(D95=3,1,0)</f>
        <v>1</v>
      </c>
      <c r="U95" t="str">
        <f t="shared" si="28"/>
        <v/>
      </c>
      <c r="V95" t="str">
        <f t="shared" si="29"/>
        <v/>
      </c>
      <c r="W95">
        <f t="shared" si="30"/>
        <v>951.2</v>
      </c>
      <c r="X95">
        <f t="shared" si="31"/>
        <v>0</v>
      </c>
    </row>
    <row r="96" spans="1:41" x14ac:dyDescent="0.25">
      <c r="A96" s="8">
        <v>23</v>
      </c>
      <c r="B96" s="8">
        <v>2</v>
      </c>
      <c r="C96" s="8">
        <v>0</v>
      </c>
      <c r="D96" s="8">
        <v>3</v>
      </c>
      <c r="E96" s="8">
        <v>16.2</v>
      </c>
      <c r="F96" s="8">
        <v>4</v>
      </c>
      <c r="G96" s="8">
        <v>2</v>
      </c>
      <c r="H96" s="8">
        <v>2</v>
      </c>
      <c r="I96" s="8">
        <v>2</v>
      </c>
      <c r="J96" s="8">
        <v>1535439360</v>
      </c>
      <c r="K96" s="8">
        <v>0</v>
      </c>
      <c r="L96" s="8">
        <v>0</v>
      </c>
      <c r="M96" s="8">
        <v>0</v>
      </c>
      <c r="N96" s="8">
        <v>0</v>
      </c>
      <c r="O96" s="8">
        <v>0</v>
      </c>
      <c r="P96" s="8"/>
      <c r="R96">
        <f t="shared" si="35"/>
        <v>0</v>
      </c>
      <c r="S96">
        <f t="shared" si="36"/>
        <v>0</v>
      </c>
      <c r="T96">
        <f t="shared" si="37"/>
        <v>1</v>
      </c>
      <c r="U96" t="str">
        <f t="shared" si="28"/>
        <v/>
      </c>
      <c r="V96" t="str">
        <f t="shared" si="29"/>
        <v/>
      </c>
      <c r="W96">
        <f t="shared" si="30"/>
        <v>16.2</v>
      </c>
      <c r="X96">
        <f t="shared" si="31"/>
        <v>0</v>
      </c>
    </row>
    <row r="97" spans="1:24" x14ac:dyDescent="0.25">
      <c r="A97" s="8">
        <v>23</v>
      </c>
      <c r="B97" s="8">
        <v>3</v>
      </c>
      <c r="C97" s="8">
        <v>100</v>
      </c>
      <c r="D97" s="8">
        <v>1</v>
      </c>
      <c r="E97" s="8">
        <v>40.9</v>
      </c>
      <c r="F97" s="8">
        <v>52</v>
      </c>
      <c r="G97" s="8">
        <v>8</v>
      </c>
      <c r="H97" s="8">
        <v>4</v>
      </c>
      <c r="I97" s="8">
        <v>10</v>
      </c>
      <c r="J97" s="8">
        <v>54837120</v>
      </c>
      <c r="K97" s="8">
        <v>81230</v>
      </c>
      <c r="L97" s="8">
        <v>24</v>
      </c>
      <c r="M97" s="8">
        <v>1</v>
      </c>
      <c r="N97" s="8">
        <v>6</v>
      </c>
      <c r="O97" s="8">
        <v>10</v>
      </c>
      <c r="P97" s="8"/>
      <c r="R97">
        <f t="shared" si="35"/>
        <v>1</v>
      </c>
      <c r="S97">
        <f t="shared" si="36"/>
        <v>0</v>
      </c>
      <c r="T97">
        <f t="shared" si="37"/>
        <v>0</v>
      </c>
      <c r="U97">
        <f t="shared" ref="U97:U160" si="38">IF(D97=1,E97,"")</f>
        <v>40.9</v>
      </c>
      <c r="V97" t="str">
        <f t="shared" ref="V97:V160" si="39">IF(D97=2,E97,"")</f>
        <v/>
      </c>
      <c r="W97" t="str">
        <f t="shared" ref="W97:W160" si="40">IF(D97=3,E97,"")</f>
        <v/>
      </c>
      <c r="X97">
        <f t="shared" si="31"/>
        <v>1</v>
      </c>
    </row>
    <row r="98" spans="1:24" x14ac:dyDescent="0.25">
      <c r="A98" s="8">
        <v>23</v>
      </c>
      <c r="B98" s="8">
        <v>4</v>
      </c>
      <c r="C98" s="8">
        <v>100</v>
      </c>
      <c r="D98" s="8">
        <v>1</v>
      </c>
      <c r="E98" s="8">
        <v>16.3</v>
      </c>
      <c r="F98" s="8">
        <v>49</v>
      </c>
      <c r="G98" s="8">
        <v>4.8</v>
      </c>
      <c r="H98" s="8">
        <v>3</v>
      </c>
      <c r="I98" s="8">
        <v>7</v>
      </c>
      <c r="J98" s="8">
        <v>54837120</v>
      </c>
      <c r="K98" s="8">
        <v>1848</v>
      </c>
      <c r="L98" s="8">
        <v>79</v>
      </c>
      <c r="M98" s="8">
        <v>4</v>
      </c>
      <c r="N98" s="8">
        <v>5</v>
      </c>
      <c r="O98" s="8">
        <v>10</v>
      </c>
      <c r="P98" s="8"/>
      <c r="R98">
        <f t="shared" si="35"/>
        <v>1</v>
      </c>
      <c r="S98">
        <f t="shared" si="36"/>
        <v>0</v>
      </c>
      <c r="T98">
        <f t="shared" si="37"/>
        <v>0</v>
      </c>
      <c r="U98">
        <f t="shared" si="38"/>
        <v>16.3</v>
      </c>
      <c r="V98" t="str">
        <f t="shared" si="39"/>
        <v/>
      </c>
      <c r="W98" t="str">
        <f t="shared" si="40"/>
        <v/>
      </c>
      <c r="X98">
        <f t="shared" si="31"/>
        <v>1</v>
      </c>
    </row>
    <row r="99" spans="1:24" x14ac:dyDescent="0.25">
      <c r="A99" s="8">
        <v>23</v>
      </c>
      <c r="B99" s="8">
        <v>5</v>
      </c>
      <c r="C99" s="8">
        <v>89</v>
      </c>
      <c r="D99" s="8">
        <v>1</v>
      </c>
      <c r="E99" s="8">
        <v>33.6</v>
      </c>
      <c r="F99" s="8">
        <v>54</v>
      </c>
      <c r="G99" s="8">
        <v>6.1</v>
      </c>
      <c r="H99" s="8">
        <v>3</v>
      </c>
      <c r="I99" s="8">
        <v>9</v>
      </c>
      <c r="J99" s="8">
        <v>54837120</v>
      </c>
      <c r="K99" s="8">
        <v>3125</v>
      </c>
      <c r="L99" s="8">
        <v>21</v>
      </c>
      <c r="M99" s="8">
        <v>1</v>
      </c>
      <c r="N99" s="8">
        <v>5</v>
      </c>
      <c r="O99" s="8">
        <v>9</v>
      </c>
      <c r="P99" s="8"/>
      <c r="R99">
        <f t="shared" si="35"/>
        <v>1</v>
      </c>
      <c r="S99">
        <f t="shared" si="36"/>
        <v>0</v>
      </c>
      <c r="T99">
        <f t="shared" si="37"/>
        <v>0</v>
      </c>
      <c r="U99">
        <f t="shared" si="38"/>
        <v>33.6</v>
      </c>
      <c r="V99" t="str">
        <f t="shared" si="39"/>
        <v/>
      </c>
      <c r="W99" t="str">
        <f t="shared" si="40"/>
        <v/>
      </c>
      <c r="X99">
        <f t="shared" si="31"/>
        <v>1</v>
      </c>
    </row>
    <row r="100" spans="1:24" x14ac:dyDescent="0.25">
      <c r="A100" s="8">
        <v>23</v>
      </c>
      <c r="B100" s="8">
        <v>6</v>
      </c>
      <c r="C100" s="8">
        <v>0</v>
      </c>
      <c r="D100" s="8">
        <v>3</v>
      </c>
      <c r="E100" s="8">
        <v>12489.7</v>
      </c>
      <c r="F100" s="8">
        <v>6</v>
      </c>
      <c r="G100" s="8">
        <v>3.3</v>
      </c>
      <c r="H100" s="8">
        <v>2</v>
      </c>
      <c r="I100" s="8">
        <v>4</v>
      </c>
      <c r="J100" s="8">
        <v>1535439360</v>
      </c>
      <c r="K100" s="8">
        <v>524075557</v>
      </c>
      <c r="L100" s="8">
        <v>292385103</v>
      </c>
      <c r="M100" s="8">
        <v>0</v>
      </c>
      <c r="N100" s="8">
        <v>0</v>
      </c>
      <c r="O100" s="8">
        <v>0</v>
      </c>
      <c r="P100" s="8"/>
      <c r="R100">
        <f t="shared" si="35"/>
        <v>0</v>
      </c>
      <c r="S100">
        <f t="shared" si="36"/>
        <v>0</v>
      </c>
      <c r="T100">
        <f t="shared" si="37"/>
        <v>1</v>
      </c>
      <c r="U100" t="str">
        <f t="shared" si="38"/>
        <v/>
      </c>
      <c r="V100" t="str">
        <f t="shared" si="39"/>
        <v/>
      </c>
      <c r="W100">
        <f t="shared" si="40"/>
        <v>12489.7</v>
      </c>
      <c r="X100">
        <f t="shared" si="31"/>
        <v>0</v>
      </c>
    </row>
    <row r="101" spans="1:24" x14ac:dyDescent="0.25">
      <c r="A101" s="8">
        <v>23</v>
      </c>
      <c r="B101" s="8">
        <v>7</v>
      </c>
      <c r="C101" s="8">
        <v>100</v>
      </c>
      <c r="D101" s="8">
        <v>1</v>
      </c>
      <c r="E101" s="8">
        <v>18.3</v>
      </c>
      <c r="F101" s="8">
        <v>70</v>
      </c>
      <c r="G101" s="8">
        <v>4.4000000000000004</v>
      </c>
      <c r="H101" s="8">
        <v>2</v>
      </c>
      <c r="I101" s="8">
        <v>5</v>
      </c>
      <c r="J101" s="8">
        <v>54837120</v>
      </c>
      <c r="K101" s="8">
        <v>2</v>
      </c>
      <c r="L101" s="8">
        <v>2</v>
      </c>
      <c r="M101" s="8">
        <v>1</v>
      </c>
      <c r="N101" s="8">
        <v>8</v>
      </c>
      <c r="O101" s="8">
        <v>10</v>
      </c>
      <c r="P101" s="8"/>
      <c r="R101">
        <f t="shared" si="35"/>
        <v>1</v>
      </c>
      <c r="S101">
        <f t="shared" si="36"/>
        <v>0</v>
      </c>
      <c r="T101">
        <f t="shared" si="37"/>
        <v>0</v>
      </c>
      <c r="U101">
        <f t="shared" si="38"/>
        <v>18.3</v>
      </c>
      <c r="V101" t="str">
        <f t="shared" si="39"/>
        <v/>
      </c>
      <c r="W101" t="str">
        <f t="shared" si="40"/>
        <v/>
      </c>
      <c r="X101">
        <f t="shared" si="31"/>
        <v>1</v>
      </c>
    </row>
    <row r="102" spans="1:24" x14ac:dyDescent="0.25">
      <c r="A102" s="8">
        <v>23</v>
      </c>
      <c r="B102" s="8">
        <v>8</v>
      </c>
      <c r="C102" s="8">
        <v>87</v>
      </c>
      <c r="D102" s="8">
        <v>1</v>
      </c>
      <c r="E102" s="8">
        <v>33.700000000000003</v>
      </c>
      <c r="F102" s="8">
        <v>86</v>
      </c>
      <c r="G102" s="8">
        <v>6.7</v>
      </c>
      <c r="H102" s="8">
        <v>2</v>
      </c>
      <c r="I102" s="8">
        <v>10</v>
      </c>
      <c r="J102" s="8">
        <v>54837120</v>
      </c>
      <c r="K102" s="8">
        <v>136</v>
      </c>
      <c r="L102" s="8">
        <v>2</v>
      </c>
      <c r="M102" s="8">
        <v>1</v>
      </c>
      <c r="N102" s="8">
        <v>7</v>
      </c>
      <c r="O102" s="8">
        <v>9</v>
      </c>
      <c r="P102" s="8"/>
      <c r="R102">
        <f t="shared" si="35"/>
        <v>1</v>
      </c>
      <c r="S102">
        <f t="shared" si="36"/>
        <v>0</v>
      </c>
      <c r="T102">
        <f t="shared" si="37"/>
        <v>0</v>
      </c>
      <c r="U102">
        <f t="shared" si="38"/>
        <v>33.700000000000003</v>
      </c>
      <c r="V102" t="str">
        <f t="shared" si="39"/>
        <v/>
      </c>
      <c r="W102" t="str">
        <f t="shared" si="40"/>
        <v/>
      </c>
      <c r="X102">
        <f t="shared" si="31"/>
        <v>1</v>
      </c>
    </row>
    <row r="103" spans="1:24" x14ac:dyDescent="0.25">
      <c r="A103" s="8">
        <v>23</v>
      </c>
      <c r="B103" s="8">
        <v>9</v>
      </c>
      <c r="C103" s="8">
        <v>25</v>
      </c>
      <c r="D103" s="8">
        <v>1</v>
      </c>
      <c r="E103" s="8">
        <v>27.5</v>
      </c>
      <c r="F103" s="8">
        <v>52</v>
      </c>
      <c r="G103" s="8">
        <v>5.7</v>
      </c>
      <c r="H103" s="8">
        <v>2</v>
      </c>
      <c r="I103" s="8">
        <v>7</v>
      </c>
      <c r="J103" s="8">
        <v>54837120</v>
      </c>
      <c r="K103" s="8">
        <v>112</v>
      </c>
      <c r="L103" s="8">
        <v>1</v>
      </c>
      <c r="M103" s="8">
        <v>1</v>
      </c>
      <c r="N103" s="8">
        <v>5</v>
      </c>
      <c r="O103" s="8">
        <v>10</v>
      </c>
      <c r="P103" s="8"/>
      <c r="R103">
        <f t="shared" si="35"/>
        <v>1</v>
      </c>
      <c r="S103">
        <f t="shared" si="36"/>
        <v>0</v>
      </c>
      <c r="T103">
        <f t="shared" si="37"/>
        <v>0</v>
      </c>
      <c r="U103">
        <f t="shared" si="38"/>
        <v>27.5</v>
      </c>
      <c r="V103" t="str">
        <f t="shared" si="39"/>
        <v/>
      </c>
      <c r="W103" t="str">
        <f t="shared" si="40"/>
        <v/>
      </c>
      <c r="X103">
        <f t="shared" si="31"/>
        <v>1</v>
      </c>
    </row>
    <row r="104" spans="1:24" x14ac:dyDescent="0.25">
      <c r="A104" s="8">
        <v>23</v>
      </c>
      <c r="B104" s="8">
        <v>10</v>
      </c>
      <c r="C104" s="8">
        <v>87</v>
      </c>
      <c r="D104" s="8">
        <v>1</v>
      </c>
      <c r="E104" s="8">
        <v>34.799999999999997</v>
      </c>
      <c r="F104" s="8">
        <v>72</v>
      </c>
      <c r="G104" s="8">
        <v>8.1</v>
      </c>
      <c r="H104" s="8">
        <v>2</v>
      </c>
      <c r="I104" s="8">
        <v>10</v>
      </c>
      <c r="J104" s="8">
        <v>54837120</v>
      </c>
      <c r="K104" s="8">
        <v>3278</v>
      </c>
      <c r="L104" s="8">
        <v>1</v>
      </c>
      <c r="M104" s="8">
        <v>1</v>
      </c>
      <c r="N104" s="8">
        <v>7</v>
      </c>
      <c r="O104" s="8">
        <v>10</v>
      </c>
      <c r="P104" s="8"/>
      <c r="R104">
        <f t="shared" si="35"/>
        <v>1</v>
      </c>
      <c r="S104">
        <f t="shared" si="36"/>
        <v>0</v>
      </c>
      <c r="T104">
        <f t="shared" si="37"/>
        <v>0</v>
      </c>
      <c r="U104">
        <f t="shared" si="38"/>
        <v>34.799999999999997</v>
      </c>
      <c r="V104" t="str">
        <f t="shared" si="39"/>
        <v/>
      </c>
      <c r="W104" t="str">
        <f t="shared" si="40"/>
        <v/>
      </c>
      <c r="X104">
        <f t="shared" si="31"/>
        <v>1</v>
      </c>
    </row>
    <row r="105" spans="1:24" x14ac:dyDescent="0.25">
      <c r="A105" s="8">
        <v>23</v>
      </c>
      <c r="B105" s="8">
        <v>11</v>
      </c>
      <c r="C105" s="8">
        <v>91</v>
      </c>
      <c r="D105" s="8">
        <v>1</v>
      </c>
      <c r="E105" s="8">
        <v>32.5</v>
      </c>
      <c r="F105" s="8">
        <v>68</v>
      </c>
      <c r="G105" s="8">
        <v>7.9</v>
      </c>
      <c r="H105" s="8">
        <v>3</v>
      </c>
      <c r="I105" s="8">
        <v>11</v>
      </c>
      <c r="J105" s="8">
        <v>54837120</v>
      </c>
      <c r="K105" s="8">
        <v>3171</v>
      </c>
      <c r="L105" s="8">
        <v>2</v>
      </c>
      <c r="M105" s="8">
        <v>2</v>
      </c>
      <c r="N105" s="8">
        <v>8</v>
      </c>
      <c r="O105" s="8">
        <v>9</v>
      </c>
      <c r="P105" s="8"/>
      <c r="R105">
        <f t="shared" si="35"/>
        <v>1</v>
      </c>
      <c r="S105">
        <f t="shared" si="36"/>
        <v>0</v>
      </c>
      <c r="T105">
        <f t="shared" si="37"/>
        <v>0</v>
      </c>
      <c r="U105">
        <f t="shared" si="38"/>
        <v>32.5</v>
      </c>
      <c r="V105" t="str">
        <f t="shared" si="39"/>
        <v/>
      </c>
      <c r="W105" t="str">
        <f t="shared" si="40"/>
        <v/>
      </c>
      <c r="X105">
        <f t="shared" si="31"/>
        <v>1</v>
      </c>
    </row>
    <row r="106" spans="1:24" x14ac:dyDescent="0.25">
      <c r="A106" s="8">
        <v>23</v>
      </c>
      <c r="B106" s="8">
        <v>12</v>
      </c>
      <c r="C106" s="8">
        <v>87</v>
      </c>
      <c r="D106" s="8">
        <v>1</v>
      </c>
      <c r="E106" s="8">
        <v>28.6</v>
      </c>
      <c r="F106" s="8">
        <v>34</v>
      </c>
      <c r="G106" s="8">
        <v>5.6</v>
      </c>
      <c r="H106" s="8">
        <v>2</v>
      </c>
      <c r="I106" s="8">
        <v>7</v>
      </c>
      <c r="J106" s="8">
        <v>54837120</v>
      </c>
      <c r="K106" s="8">
        <v>53573</v>
      </c>
      <c r="L106" s="8">
        <v>1944</v>
      </c>
      <c r="M106" s="8">
        <v>1</v>
      </c>
      <c r="N106" s="8">
        <v>5</v>
      </c>
      <c r="O106" s="8">
        <v>9</v>
      </c>
      <c r="P106" s="8"/>
      <c r="R106">
        <f t="shared" si="35"/>
        <v>1</v>
      </c>
      <c r="S106">
        <f t="shared" si="36"/>
        <v>0</v>
      </c>
      <c r="T106">
        <f t="shared" si="37"/>
        <v>0</v>
      </c>
      <c r="U106">
        <f t="shared" si="38"/>
        <v>28.6</v>
      </c>
      <c r="V106" t="str">
        <f t="shared" si="39"/>
        <v/>
      </c>
      <c r="W106" t="str">
        <f t="shared" si="40"/>
        <v/>
      </c>
      <c r="X106">
        <f t="shared" si="31"/>
        <v>1</v>
      </c>
    </row>
    <row r="107" spans="1:24" x14ac:dyDescent="0.25">
      <c r="A107" s="8">
        <v>23</v>
      </c>
      <c r="B107" s="8">
        <v>13</v>
      </c>
      <c r="C107" s="8">
        <v>100</v>
      </c>
      <c r="D107" s="8">
        <v>1</v>
      </c>
      <c r="E107" s="8">
        <v>31.7</v>
      </c>
      <c r="F107" s="8">
        <v>65</v>
      </c>
      <c r="G107" s="8">
        <v>6.2</v>
      </c>
      <c r="H107" s="8">
        <v>3</v>
      </c>
      <c r="I107" s="8">
        <v>8</v>
      </c>
      <c r="J107" s="8">
        <v>54837120</v>
      </c>
      <c r="K107" s="8">
        <v>3192</v>
      </c>
      <c r="L107" s="8">
        <v>13</v>
      </c>
      <c r="M107" s="8">
        <v>1</v>
      </c>
      <c r="N107" s="8">
        <v>8</v>
      </c>
      <c r="O107" s="8">
        <v>10</v>
      </c>
      <c r="P107" s="8"/>
      <c r="R107">
        <f t="shared" si="35"/>
        <v>1</v>
      </c>
      <c r="S107">
        <f t="shared" si="36"/>
        <v>0</v>
      </c>
      <c r="T107">
        <f t="shared" si="37"/>
        <v>0</v>
      </c>
      <c r="U107">
        <f t="shared" si="38"/>
        <v>31.7</v>
      </c>
      <c r="V107" t="str">
        <f t="shared" si="39"/>
        <v/>
      </c>
      <c r="W107" t="str">
        <f t="shared" si="40"/>
        <v/>
      </c>
      <c r="X107">
        <f t="shared" si="31"/>
        <v>1</v>
      </c>
    </row>
    <row r="108" spans="1:24" x14ac:dyDescent="0.25">
      <c r="A108" s="8">
        <v>23</v>
      </c>
      <c r="B108" s="8">
        <v>14</v>
      </c>
      <c r="C108" s="8">
        <v>84</v>
      </c>
      <c r="D108" s="8">
        <v>1</v>
      </c>
      <c r="E108" s="8">
        <v>34.799999999999997</v>
      </c>
      <c r="F108" s="8">
        <v>23</v>
      </c>
      <c r="G108" s="8">
        <v>6.6</v>
      </c>
      <c r="H108" s="8">
        <v>3</v>
      </c>
      <c r="I108" s="8">
        <v>9</v>
      </c>
      <c r="J108" s="8">
        <v>54837120</v>
      </c>
      <c r="K108" s="8">
        <v>81085</v>
      </c>
      <c r="L108" s="8">
        <v>24</v>
      </c>
      <c r="M108" s="8">
        <v>1</v>
      </c>
      <c r="N108" s="8">
        <v>8</v>
      </c>
      <c r="O108" s="8">
        <v>10</v>
      </c>
      <c r="P108" s="8"/>
      <c r="R108">
        <f t="shared" si="35"/>
        <v>1</v>
      </c>
      <c r="S108">
        <f t="shared" si="36"/>
        <v>0</v>
      </c>
      <c r="T108">
        <f t="shared" si="37"/>
        <v>0</v>
      </c>
      <c r="U108">
        <f t="shared" si="38"/>
        <v>34.799999999999997</v>
      </c>
      <c r="V108" t="str">
        <f t="shared" si="39"/>
        <v/>
      </c>
      <c r="W108" t="str">
        <f t="shared" si="40"/>
        <v/>
      </c>
      <c r="X108">
        <f t="shared" si="31"/>
        <v>1</v>
      </c>
    </row>
    <row r="109" spans="1:24" x14ac:dyDescent="0.25">
      <c r="A109" s="8">
        <v>23</v>
      </c>
      <c r="B109" s="8">
        <v>15</v>
      </c>
      <c r="C109" s="8">
        <v>100</v>
      </c>
      <c r="D109" s="8">
        <v>1</v>
      </c>
      <c r="E109" s="8">
        <v>17.3</v>
      </c>
      <c r="F109" s="8">
        <v>13</v>
      </c>
      <c r="G109" s="8">
        <v>3.3</v>
      </c>
      <c r="H109" s="8">
        <v>3</v>
      </c>
      <c r="I109" s="8">
        <v>4</v>
      </c>
      <c r="J109" s="8">
        <v>54837120</v>
      </c>
      <c r="K109" s="8">
        <v>79760</v>
      </c>
      <c r="L109" s="8">
        <v>15408</v>
      </c>
      <c r="M109" s="8">
        <v>1</v>
      </c>
      <c r="N109" s="8">
        <v>4</v>
      </c>
      <c r="O109" s="8">
        <v>10</v>
      </c>
      <c r="P109" s="8"/>
      <c r="R109">
        <f t="shared" si="35"/>
        <v>1</v>
      </c>
      <c r="S109">
        <f t="shared" si="36"/>
        <v>0</v>
      </c>
      <c r="T109">
        <f t="shared" si="37"/>
        <v>0</v>
      </c>
      <c r="U109">
        <f t="shared" si="38"/>
        <v>17.3</v>
      </c>
      <c r="V109" t="str">
        <f t="shared" si="39"/>
        <v/>
      </c>
      <c r="W109" t="str">
        <f t="shared" si="40"/>
        <v/>
      </c>
      <c r="X109">
        <f t="shared" si="31"/>
        <v>1</v>
      </c>
    </row>
    <row r="110" spans="1:24" x14ac:dyDescent="0.25">
      <c r="A110" s="8">
        <v>23</v>
      </c>
      <c r="B110" s="8">
        <v>16</v>
      </c>
      <c r="C110" s="8">
        <v>86</v>
      </c>
      <c r="D110" s="8">
        <v>1</v>
      </c>
      <c r="E110" s="8">
        <v>20.5</v>
      </c>
      <c r="F110" s="8">
        <v>68</v>
      </c>
      <c r="G110" s="8">
        <v>7.1</v>
      </c>
      <c r="H110" s="8">
        <v>2</v>
      </c>
      <c r="I110" s="8">
        <v>10</v>
      </c>
      <c r="J110" s="8">
        <v>54837120</v>
      </c>
      <c r="K110" s="8">
        <v>3153</v>
      </c>
      <c r="L110" s="8">
        <v>6</v>
      </c>
      <c r="M110" s="8">
        <v>2</v>
      </c>
      <c r="N110" s="8">
        <v>7</v>
      </c>
      <c r="O110" s="8">
        <v>9</v>
      </c>
      <c r="P110" s="8"/>
      <c r="R110">
        <f t="shared" si="35"/>
        <v>1</v>
      </c>
      <c r="S110">
        <f t="shared" si="36"/>
        <v>0</v>
      </c>
      <c r="T110">
        <f t="shared" si="37"/>
        <v>0</v>
      </c>
      <c r="U110">
        <f t="shared" si="38"/>
        <v>20.5</v>
      </c>
      <c r="V110" t="str">
        <f t="shared" si="39"/>
        <v/>
      </c>
      <c r="W110" t="str">
        <f t="shared" si="40"/>
        <v/>
      </c>
      <c r="X110">
        <f t="shared" si="31"/>
        <v>1</v>
      </c>
    </row>
    <row r="111" spans="1:24" x14ac:dyDescent="0.25">
      <c r="A111" s="8">
        <v>23</v>
      </c>
      <c r="B111" s="8">
        <v>17</v>
      </c>
      <c r="C111" s="8">
        <v>90</v>
      </c>
      <c r="D111" s="8">
        <v>1</v>
      </c>
      <c r="E111" s="8">
        <v>42.9</v>
      </c>
      <c r="F111" s="8">
        <v>228</v>
      </c>
      <c r="G111" s="8">
        <v>7.6</v>
      </c>
      <c r="H111" s="8">
        <v>2</v>
      </c>
      <c r="I111" s="8">
        <v>10</v>
      </c>
      <c r="J111" s="8">
        <v>54837120</v>
      </c>
      <c r="K111" s="8">
        <v>5</v>
      </c>
      <c r="L111" s="8">
        <v>1</v>
      </c>
      <c r="M111" s="8">
        <v>1</v>
      </c>
      <c r="N111" s="8">
        <v>7</v>
      </c>
      <c r="O111" s="8">
        <v>9</v>
      </c>
      <c r="P111" s="8"/>
      <c r="R111">
        <f t="shared" si="35"/>
        <v>1</v>
      </c>
      <c r="S111">
        <f t="shared" si="36"/>
        <v>0</v>
      </c>
      <c r="T111">
        <f t="shared" si="37"/>
        <v>0</v>
      </c>
      <c r="U111">
        <f t="shared" si="38"/>
        <v>42.9</v>
      </c>
      <c r="V111" t="str">
        <f t="shared" si="39"/>
        <v/>
      </c>
      <c r="W111" t="str">
        <f t="shared" si="40"/>
        <v/>
      </c>
      <c r="X111">
        <f t="shared" si="31"/>
        <v>1</v>
      </c>
    </row>
    <row r="112" spans="1:24" x14ac:dyDescent="0.25">
      <c r="A112" s="8">
        <v>23</v>
      </c>
      <c r="B112" s="8">
        <v>18</v>
      </c>
      <c r="C112" s="8">
        <v>100</v>
      </c>
      <c r="D112" s="8">
        <v>1</v>
      </c>
      <c r="E112" s="8">
        <v>31.7</v>
      </c>
      <c r="F112" s="8">
        <v>24</v>
      </c>
      <c r="G112" s="8">
        <v>4.7</v>
      </c>
      <c r="H112" s="8">
        <v>2</v>
      </c>
      <c r="I112" s="8">
        <v>7</v>
      </c>
      <c r="J112" s="8">
        <v>54837120</v>
      </c>
      <c r="K112" s="8">
        <v>83112</v>
      </c>
      <c r="L112" s="8">
        <v>1599</v>
      </c>
      <c r="M112" s="8">
        <v>2</v>
      </c>
      <c r="N112" s="8">
        <v>6</v>
      </c>
      <c r="O112" s="8">
        <v>10</v>
      </c>
      <c r="P112" s="8"/>
      <c r="R112">
        <f t="shared" si="35"/>
        <v>1</v>
      </c>
      <c r="S112">
        <f t="shared" si="36"/>
        <v>0</v>
      </c>
      <c r="T112">
        <f t="shared" si="37"/>
        <v>0</v>
      </c>
      <c r="U112">
        <f t="shared" si="38"/>
        <v>31.7</v>
      </c>
      <c r="V112" t="str">
        <f t="shared" si="39"/>
        <v/>
      </c>
      <c r="W112" t="str">
        <f t="shared" si="40"/>
        <v/>
      </c>
      <c r="X112">
        <f t="shared" si="31"/>
        <v>1</v>
      </c>
    </row>
    <row r="113" spans="1:24" x14ac:dyDescent="0.25">
      <c r="A113" s="8">
        <v>23</v>
      </c>
      <c r="B113" s="8">
        <v>19</v>
      </c>
      <c r="C113" s="8">
        <v>58</v>
      </c>
      <c r="D113" s="8">
        <v>1</v>
      </c>
      <c r="E113" s="8">
        <v>52.1</v>
      </c>
      <c r="F113" s="8">
        <v>22</v>
      </c>
      <c r="G113" s="8">
        <v>7.7</v>
      </c>
      <c r="H113" s="8">
        <v>5</v>
      </c>
      <c r="I113" s="8">
        <v>9</v>
      </c>
      <c r="J113" s="8">
        <v>54837120</v>
      </c>
      <c r="K113" s="8">
        <v>2023219</v>
      </c>
      <c r="L113" s="8">
        <v>3736</v>
      </c>
      <c r="M113" s="8">
        <v>4</v>
      </c>
      <c r="N113" s="8">
        <v>9</v>
      </c>
      <c r="O113" s="8">
        <v>10</v>
      </c>
      <c r="P113" s="8"/>
      <c r="R113">
        <f t="shared" si="35"/>
        <v>1</v>
      </c>
      <c r="S113">
        <f t="shared" si="36"/>
        <v>0</v>
      </c>
      <c r="T113">
        <f t="shared" si="37"/>
        <v>0</v>
      </c>
      <c r="U113">
        <f t="shared" si="38"/>
        <v>52.1</v>
      </c>
      <c r="V113" t="str">
        <f t="shared" si="39"/>
        <v/>
      </c>
      <c r="W113" t="str">
        <f t="shared" si="40"/>
        <v/>
      </c>
      <c r="X113">
        <f t="shared" si="31"/>
        <v>1</v>
      </c>
    </row>
    <row r="114" spans="1:24" x14ac:dyDescent="0.25">
      <c r="A114" s="8">
        <v>23</v>
      </c>
      <c r="B114" s="8">
        <v>20</v>
      </c>
      <c r="C114" s="8">
        <v>92</v>
      </c>
      <c r="D114" s="8">
        <v>1</v>
      </c>
      <c r="E114" s="8">
        <v>36.700000000000003</v>
      </c>
      <c r="F114" s="8">
        <v>94</v>
      </c>
      <c r="G114" s="8">
        <v>7.5</v>
      </c>
      <c r="H114" s="8">
        <v>2</v>
      </c>
      <c r="I114" s="8">
        <v>10</v>
      </c>
      <c r="J114" s="8">
        <v>54837120</v>
      </c>
      <c r="K114" s="8">
        <v>155</v>
      </c>
      <c r="L114" s="8">
        <v>3</v>
      </c>
      <c r="M114" s="8">
        <v>2</v>
      </c>
      <c r="N114" s="8">
        <v>9</v>
      </c>
      <c r="O114" s="8">
        <v>9</v>
      </c>
      <c r="P114" s="8"/>
      <c r="R114">
        <f t="shared" si="35"/>
        <v>1</v>
      </c>
      <c r="S114">
        <f t="shared" si="36"/>
        <v>0</v>
      </c>
      <c r="T114">
        <f t="shared" si="37"/>
        <v>0</v>
      </c>
      <c r="U114">
        <f t="shared" si="38"/>
        <v>36.700000000000003</v>
      </c>
      <c r="V114" t="str">
        <f t="shared" si="39"/>
        <v/>
      </c>
      <c r="W114" t="str">
        <f t="shared" si="40"/>
        <v/>
      </c>
      <c r="X114">
        <f t="shared" si="31"/>
        <v>1</v>
      </c>
    </row>
    <row r="115" spans="1:24" x14ac:dyDescent="0.25">
      <c r="A115" s="8">
        <v>23</v>
      </c>
      <c r="B115" s="8">
        <v>21</v>
      </c>
      <c r="C115" s="8">
        <v>100</v>
      </c>
      <c r="D115" s="8">
        <v>1</v>
      </c>
      <c r="E115" s="8">
        <v>28.5</v>
      </c>
      <c r="F115" s="8">
        <v>34</v>
      </c>
      <c r="G115" s="8">
        <v>6</v>
      </c>
      <c r="H115" s="8">
        <v>4</v>
      </c>
      <c r="I115" s="8">
        <v>8</v>
      </c>
      <c r="J115" s="8">
        <v>54837120</v>
      </c>
      <c r="K115" s="8">
        <v>81057</v>
      </c>
      <c r="L115" s="8">
        <v>609</v>
      </c>
      <c r="M115" s="8">
        <v>1</v>
      </c>
      <c r="N115" s="8">
        <v>7</v>
      </c>
      <c r="O115" s="8">
        <v>10</v>
      </c>
      <c r="P115" s="8"/>
      <c r="R115">
        <f t="shared" si="35"/>
        <v>1</v>
      </c>
      <c r="S115">
        <f t="shared" si="36"/>
        <v>0</v>
      </c>
      <c r="T115">
        <f t="shared" si="37"/>
        <v>0</v>
      </c>
      <c r="U115">
        <f t="shared" si="38"/>
        <v>28.5</v>
      </c>
      <c r="V115" t="str">
        <f t="shared" si="39"/>
        <v/>
      </c>
      <c r="W115" t="str">
        <f t="shared" si="40"/>
        <v/>
      </c>
      <c r="X115">
        <f t="shared" si="31"/>
        <v>1</v>
      </c>
    </row>
    <row r="116" spans="1:24" x14ac:dyDescent="0.25">
      <c r="A116" s="8">
        <v>23</v>
      </c>
      <c r="B116" s="8">
        <v>22</v>
      </c>
      <c r="C116" s="8">
        <v>100</v>
      </c>
      <c r="D116" s="8">
        <v>1</v>
      </c>
      <c r="E116" s="8">
        <v>20.399999999999999</v>
      </c>
      <c r="F116" s="8">
        <v>52</v>
      </c>
      <c r="G116" s="8">
        <v>6</v>
      </c>
      <c r="H116" s="8">
        <v>2</v>
      </c>
      <c r="I116" s="8">
        <v>8</v>
      </c>
      <c r="J116" s="8">
        <v>54837120</v>
      </c>
      <c r="K116" s="8">
        <v>3215</v>
      </c>
      <c r="L116" s="8">
        <v>110</v>
      </c>
      <c r="M116" s="8">
        <v>2</v>
      </c>
      <c r="N116" s="8">
        <v>3</v>
      </c>
      <c r="O116" s="8">
        <v>10</v>
      </c>
      <c r="P116" s="8"/>
      <c r="R116">
        <f t="shared" si="35"/>
        <v>1</v>
      </c>
      <c r="S116">
        <f t="shared" si="36"/>
        <v>0</v>
      </c>
      <c r="T116">
        <f t="shared" si="37"/>
        <v>0</v>
      </c>
      <c r="U116">
        <f t="shared" si="38"/>
        <v>20.399999999999999</v>
      </c>
      <c r="V116" t="str">
        <f t="shared" si="39"/>
        <v/>
      </c>
      <c r="W116" t="str">
        <f t="shared" si="40"/>
        <v/>
      </c>
      <c r="X116">
        <f t="shared" si="31"/>
        <v>1</v>
      </c>
    </row>
    <row r="117" spans="1:24" x14ac:dyDescent="0.25">
      <c r="A117" s="8">
        <v>23</v>
      </c>
      <c r="B117" s="8">
        <v>23</v>
      </c>
      <c r="C117" s="8">
        <v>100</v>
      </c>
      <c r="D117" s="8">
        <v>1</v>
      </c>
      <c r="E117" s="8">
        <v>795.6</v>
      </c>
      <c r="F117" s="8">
        <v>9</v>
      </c>
      <c r="G117" s="8">
        <v>3.2</v>
      </c>
      <c r="H117" s="8">
        <v>2</v>
      </c>
      <c r="I117" s="8">
        <v>4</v>
      </c>
      <c r="J117" s="8">
        <v>54837120</v>
      </c>
      <c r="K117" s="8">
        <v>18029068</v>
      </c>
      <c r="L117" s="8">
        <v>7736470</v>
      </c>
      <c r="M117" s="8">
        <v>1</v>
      </c>
      <c r="N117" s="8">
        <v>2</v>
      </c>
      <c r="O117" s="8">
        <v>10</v>
      </c>
      <c r="P117" s="8"/>
      <c r="R117">
        <f t="shared" si="35"/>
        <v>1</v>
      </c>
      <c r="S117">
        <f t="shared" si="36"/>
        <v>0</v>
      </c>
      <c r="T117">
        <f t="shared" si="37"/>
        <v>0</v>
      </c>
      <c r="U117">
        <f t="shared" si="38"/>
        <v>795.6</v>
      </c>
      <c r="V117" t="str">
        <f t="shared" si="39"/>
        <v/>
      </c>
      <c r="W117" t="str">
        <f t="shared" si="40"/>
        <v/>
      </c>
      <c r="X117">
        <f t="shared" si="31"/>
        <v>1</v>
      </c>
    </row>
    <row r="118" spans="1:24" x14ac:dyDescent="0.25">
      <c r="A118" s="8">
        <v>23</v>
      </c>
      <c r="B118" s="8">
        <v>24</v>
      </c>
      <c r="C118" s="8">
        <v>100</v>
      </c>
      <c r="D118" s="8">
        <v>1</v>
      </c>
      <c r="E118" s="8">
        <v>20.399999999999999</v>
      </c>
      <c r="F118" s="8">
        <v>72</v>
      </c>
      <c r="G118" s="8">
        <v>8.1999999999999993</v>
      </c>
      <c r="H118" s="8">
        <v>3</v>
      </c>
      <c r="I118" s="8">
        <v>11</v>
      </c>
      <c r="J118" s="8">
        <v>54837120</v>
      </c>
      <c r="K118" s="8">
        <v>3065</v>
      </c>
      <c r="L118" s="8">
        <v>4</v>
      </c>
      <c r="M118" s="8">
        <v>1</v>
      </c>
      <c r="N118" s="8">
        <v>8</v>
      </c>
      <c r="O118" s="8">
        <v>10</v>
      </c>
      <c r="P118" s="8"/>
      <c r="R118">
        <f t="shared" si="35"/>
        <v>1</v>
      </c>
      <c r="S118">
        <f t="shared" si="36"/>
        <v>0</v>
      </c>
      <c r="T118">
        <f t="shared" si="37"/>
        <v>0</v>
      </c>
      <c r="U118">
        <f t="shared" si="38"/>
        <v>20.399999999999999</v>
      </c>
      <c r="V118" t="str">
        <f t="shared" si="39"/>
        <v/>
      </c>
      <c r="W118" t="str">
        <f t="shared" si="40"/>
        <v/>
      </c>
      <c r="X118">
        <f t="shared" si="31"/>
        <v>1</v>
      </c>
    </row>
    <row r="119" spans="1:24" x14ac:dyDescent="0.25">
      <c r="A119" s="8">
        <v>23</v>
      </c>
      <c r="B119" s="8">
        <v>25</v>
      </c>
      <c r="C119" s="8">
        <v>100</v>
      </c>
      <c r="D119" s="8">
        <v>2</v>
      </c>
      <c r="E119" s="8">
        <v>104.1</v>
      </c>
      <c r="F119" s="8">
        <v>11</v>
      </c>
      <c r="G119" s="8">
        <v>3.7</v>
      </c>
      <c r="H119" s="8">
        <v>3</v>
      </c>
      <c r="I119" s="8">
        <v>4</v>
      </c>
      <c r="J119" s="8">
        <v>109674240</v>
      </c>
      <c r="K119" s="8">
        <v>1287894</v>
      </c>
      <c r="L119" s="8">
        <v>107552</v>
      </c>
      <c r="M119" s="8">
        <v>1</v>
      </c>
      <c r="N119" s="8">
        <v>4</v>
      </c>
      <c r="O119" s="8">
        <v>10</v>
      </c>
      <c r="P119" s="8"/>
      <c r="R119">
        <f t="shared" si="35"/>
        <v>0</v>
      </c>
      <c r="S119">
        <f t="shared" si="36"/>
        <v>1</v>
      </c>
      <c r="T119">
        <f t="shared" si="37"/>
        <v>0</v>
      </c>
      <c r="U119" t="str">
        <f t="shared" si="38"/>
        <v/>
      </c>
      <c r="V119">
        <f t="shared" si="39"/>
        <v>104.1</v>
      </c>
      <c r="W119" t="str">
        <f t="shared" si="40"/>
        <v/>
      </c>
      <c r="X119">
        <f t="shared" si="31"/>
        <v>1</v>
      </c>
    </row>
    <row r="120" spans="1:24" x14ac:dyDescent="0.25">
      <c r="A120" s="8">
        <v>23</v>
      </c>
      <c r="B120" s="8">
        <v>26</v>
      </c>
      <c r="C120" s="8">
        <v>100</v>
      </c>
      <c r="D120" s="8">
        <v>1</v>
      </c>
      <c r="E120" s="8">
        <v>30.7</v>
      </c>
      <c r="F120" s="8">
        <v>106</v>
      </c>
      <c r="G120" s="8">
        <v>6.1</v>
      </c>
      <c r="H120" s="8">
        <v>2</v>
      </c>
      <c r="I120" s="8">
        <v>8</v>
      </c>
      <c r="J120" s="8">
        <v>54837120</v>
      </c>
      <c r="K120" s="8">
        <v>107</v>
      </c>
      <c r="L120" s="8">
        <v>3</v>
      </c>
      <c r="M120" s="8">
        <v>1</v>
      </c>
      <c r="N120" s="8">
        <v>5</v>
      </c>
      <c r="O120" s="8">
        <v>10</v>
      </c>
      <c r="P120" s="8"/>
      <c r="R120">
        <f t="shared" si="35"/>
        <v>1</v>
      </c>
      <c r="S120">
        <f t="shared" si="36"/>
        <v>0</v>
      </c>
      <c r="T120">
        <f t="shared" si="37"/>
        <v>0</v>
      </c>
      <c r="U120">
        <f t="shared" si="38"/>
        <v>30.7</v>
      </c>
      <c r="V120" t="str">
        <f t="shared" si="39"/>
        <v/>
      </c>
      <c r="W120" t="str">
        <f t="shared" si="40"/>
        <v/>
      </c>
      <c r="X120">
        <f t="shared" si="31"/>
        <v>1</v>
      </c>
    </row>
    <row r="121" spans="1:24" x14ac:dyDescent="0.25">
      <c r="A121" s="8">
        <v>23</v>
      </c>
      <c r="B121" s="8">
        <v>27</v>
      </c>
      <c r="C121" s="8">
        <v>100</v>
      </c>
      <c r="D121" s="8">
        <v>3</v>
      </c>
      <c r="E121" s="8">
        <v>1171.5</v>
      </c>
      <c r="F121" s="8">
        <v>12</v>
      </c>
      <c r="G121" s="8">
        <v>3.2</v>
      </c>
      <c r="H121" s="8">
        <v>2</v>
      </c>
      <c r="I121" s="8">
        <v>4</v>
      </c>
      <c r="J121" s="8">
        <v>1535439360</v>
      </c>
      <c r="K121" s="8">
        <v>52033822</v>
      </c>
      <c r="L121" s="8">
        <v>30334839</v>
      </c>
      <c r="M121" s="8">
        <v>1</v>
      </c>
      <c r="N121" s="8">
        <v>3</v>
      </c>
      <c r="O121" s="8">
        <v>10</v>
      </c>
      <c r="P121" s="8"/>
      <c r="R121">
        <f t="shared" si="35"/>
        <v>0</v>
      </c>
      <c r="S121">
        <f t="shared" si="36"/>
        <v>0</v>
      </c>
      <c r="T121">
        <f t="shared" si="37"/>
        <v>1</v>
      </c>
      <c r="U121" t="str">
        <f t="shared" si="38"/>
        <v/>
      </c>
      <c r="V121" t="str">
        <f t="shared" si="39"/>
        <v/>
      </c>
      <c r="W121">
        <f t="shared" si="40"/>
        <v>1171.5</v>
      </c>
      <c r="X121">
        <f t="shared" si="31"/>
        <v>1</v>
      </c>
    </row>
    <row r="122" spans="1:24" x14ac:dyDescent="0.25">
      <c r="A122" s="8">
        <v>23</v>
      </c>
      <c r="B122" s="8">
        <v>28</v>
      </c>
      <c r="C122" s="8">
        <v>100</v>
      </c>
      <c r="D122" s="8">
        <v>1</v>
      </c>
      <c r="E122" s="8">
        <v>32.700000000000003</v>
      </c>
      <c r="F122" s="8">
        <v>113</v>
      </c>
      <c r="G122" s="8">
        <v>7</v>
      </c>
      <c r="H122" s="8">
        <v>2</v>
      </c>
      <c r="I122" s="8">
        <v>10</v>
      </c>
      <c r="J122" s="8">
        <v>54837120</v>
      </c>
      <c r="K122" s="8">
        <v>4</v>
      </c>
      <c r="L122" s="8">
        <v>3</v>
      </c>
      <c r="M122" s="8">
        <v>1</v>
      </c>
      <c r="N122" s="8">
        <v>8</v>
      </c>
      <c r="O122" s="8">
        <v>10</v>
      </c>
      <c r="P122" s="8"/>
      <c r="R122">
        <f t="shared" si="35"/>
        <v>1</v>
      </c>
      <c r="S122">
        <f t="shared" si="36"/>
        <v>0</v>
      </c>
      <c r="T122">
        <f t="shared" si="37"/>
        <v>0</v>
      </c>
      <c r="U122">
        <f t="shared" si="38"/>
        <v>32.700000000000003</v>
      </c>
      <c r="V122" t="str">
        <f t="shared" si="39"/>
        <v/>
      </c>
      <c r="W122" t="str">
        <f t="shared" si="40"/>
        <v/>
      </c>
      <c r="X122">
        <f t="shared" si="31"/>
        <v>1</v>
      </c>
    </row>
    <row r="123" spans="1:24" x14ac:dyDescent="0.25">
      <c r="A123" s="8">
        <v>23</v>
      </c>
      <c r="B123" s="8">
        <v>29</v>
      </c>
      <c r="C123" s="8">
        <v>33</v>
      </c>
      <c r="D123" s="8">
        <v>1</v>
      </c>
      <c r="E123" s="8">
        <v>30.6</v>
      </c>
      <c r="F123" s="8">
        <v>126</v>
      </c>
      <c r="G123" s="8">
        <v>6.1</v>
      </c>
      <c r="H123" s="8">
        <v>2</v>
      </c>
      <c r="I123" s="8">
        <v>8</v>
      </c>
      <c r="J123" s="8">
        <v>54837120</v>
      </c>
      <c r="K123" s="8">
        <v>152</v>
      </c>
      <c r="L123" s="8">
        <v>10</v>
      </c>
      <c r="M123" s="8">
        <v>1</v>
      </c>
      <c r="N123" s="8">
        <v>4</v>
      </c>
      <c r="O123" s="8">
        <v>7</v>
      </c>
      <c r="P123" s="8"/>
      <c r="R123">
        <f t="shared" si="35"/>
        <v>1</v>
      </c>
      <c r="S123">
        <f t="shared" si="36"/>
        <v>0</v>
      </c>
      <c r="T123">
        <f t="shared" si="37"/>
        <v>0</v>
      </c>
      <c r="U123">
        <f t="shared" si="38"/>
        <v>30.6</v>
      </c>
      <c r="V123" t="str">
        <f t="shared" si="39"/>
        <v/>
      </c>
      <c r="W123" t="str">
        <f t="shared" si="40"/>
        <v/>
      </c>
      <c r="X123">
        <f t="shared" si="31"/>
        <v>1</v>
      </c>
    </row>
    <row r="124" spans="1:24" x14ac:dyDescent="0.25">
      <c r="A124" s="8">
        <v>24</v>
      </c>
      <c r="B124" s="8">
        <v>0</v>
      </c>
      <c r="C124" s="8">
        <v>100</v>
      </c>
      <c r="D124" s="8">
        <v>1</v>
      </c>
      <c r="E124" s="8">
        <v>36.700000000000003</v>
      </c>
      <c r="F124" s="8">
        <v>14</v>
      </c>
      <c r="G124" s="8">
        <v>5.4</v>
      </c>
      <c r="H124" s="8">
        <v>2</v>
      </c>
      <c r="I124" s="8">
        <v>6</v>
      </c>
      <c r="J124" s="8">
        <v>54837120</v>
      </c>
      <c r="K124" s="8">
        <v>2127096</v>
      </c>
      <c r="L124" s="8">
        <v>375731</v>
      </c>
      <c r="M124" s="8">
        <v>1</v>
      </c>
      <c r="N124" s="8">
        <v>5</v>
      </c>
      <c r="O124" s="8">
        <v>10</v>
      </c>
      <c r="P124" s="8"/>
      <c r="R124">
        <f t="shared" si="35"/>
        <v>1</v>
      </c>
      <c r="S124">
        <f t="shared" si="36"/>
        <v>0</v>
      </c>
      <c r="T124">
        <f t="shared" si="37"/>
        <v>0</v>
      </c>
      <c r="U124">
        <f t="shared" si="38"/>
        <v>36.700000000000003</v>
      </c>
      <c r="V124" t="str">
        <f t="shared" si="39"/>
        <v/>
      </c>
      <c r="W124" t="str">
        <f t="shared" si="40"/>
        <v/>
      </c>
      <c r="X124">
        <f t="shared" si="31"/>
        <v>1</v>
      </c>
    </row>
    <row r="125" spans="1:24" x14ac:dyDescent="0.25">
      <c r="A125" s="8">
        <v>24</v>
      </c>
      <c r="B125" s="8">
        <v>1</v>
      </c>
      <c r="C125" s="8">
        <v>100</v>
      </c>
      <c r="D125" s="8">
        <v>1</v>
      </c>
      <c r="E125" s="8">
        <v>36.799999999999997</v>
      </c>
      <c r="F125" s="8">
        <v>15</v>
      </c>
      <c r="G125" s="8">
        <v>3.3</v>
      </c>
      <c r="H125" s="8">
        <v>2</v>
      </c>
      <c r="I125" s="8">
        <v>4</v>
      </c>
      <c r="J125" s="8">
        <v>54837120</v>
      </c>
      <c r="K125" s="8">
        <v>1361832</v>
      </c>
      <c r="L125" s="8">
        <v>394879</v>
      </c>
      <c r="M125" s="8">
        <v>2</v>
      </c>
      <c r="N125" s="8">
        <v>4</v>
      </c>
      <c r="O125" s="8">
        <v>10</v>
      </c>
      <c r="P125" s="8"/>
      <c r="R125">
        <f t="shared" si="35"/>
        <v>1</v>
      </c>
      <c r="S125">
        <f t="shared" si="36"/>
        <v>0</v>
      </c>
      <c r="T125">
        <f t="shared" si="37"/>
        <v>0</v>
      </c>
      <c r="U125">
        <f t="shared" si="38"/>
        <v>36.799999999999997</v>
      </c>
      <c r="V125" t="str">
        <f t="shared" si="39"/>
        <v/>
      </c>
      <c r="W125" t="str">
        <f t="shared" si="40"/>
        <v/>
      </c>
      <c r="X125">
        <f t="shared" si="31"/>
        <v>1</v>
      </c>
    </row>
    <row r="126" spans="1:24" x14ac:dyDescent="0.25">
      <c r="A126" s="8">
        <v>24</v>
      </c>
      <c r="B126" s="8">
        <v>2</v>
      </c>
      <c r="C126" s="8">
        <v>100</v>
      </c>
      <c r="D126" s="8">
        <v>1</v>
      </c>
      <c r="E126" s="8">
        <v>45.9</v>
      </c>
      <c r="F126" s="8">
        <v>42</v>
      </c>
      <c r="G126" s="8">
        <v>7.3</v>
      </c>
      <c r="H126" s="8">
        <v>2</v>
      </c>
      <c r="I126" s="8">
        <v>11</v>
      </c>
      <c r="J126" s="8">
        <v>54837120</v>
      </c>
      <c r="K126" s="8">
        <v>82216</v>
      </c>
      <c r="L126" s="8">
        <v>28</v>
      </c>
      <c r="M126" s="8">
        <v>1</v>
      </c>
      <c r="N126" s="8">
        <v>5</v>
      </c>
      <c r="O126" s="8">
        <v>10</v>
      </c>
      <c r="P126" s="8"/>
      <c r="R126">
        <f t="shared" si="35"/>
        <v>1</v>
      </c>
      <c r="S126">
        <f t="shared" si="36"/>
        <v>0</v>
      </c>
      <c r="T126">
        <f t="shared" si="37"/>
        <v>0</v>
      </c>
      <c r="U126">
        <f t="shared" si="38"/>
        <v>45.9</v>
      </c>
      <c r="V126" t="str">
        <f t="shared" si="39"/>
        <v/>
      </c>
      <c r="W126" t="str">
        <f t="shared" si="40"/>
        <v/>
      </c>
      <c r="X126">
        <f t="shared" si="31"/>
        <v>1</v>
      </c>
    </row>
    <row r="127" spans="1:24" x14ac:dyDescent="0.25">
      <c r="A127" s="8">
        <v>24</v>
      </c>
      <c r="B127" s="8">
        <v>3</v>
      </c>
      <c r="C127" s="8">
        <v>100</v>
      </c>
      <c r="D127" s="8">
        <v>3</v>
      </c>
      <c r="E127" s="8">
        <v>1170.2</v>
      </c>
      <c r="F127" s="8">
        <v>22</v>
      </c>
      <c r="G127" s="8">
        <v>7.5</v>
      </c>
      <c r="H127" s="8">
        <v>6</v>
      </c>
      <c r="I127" s="8">
        <v>9</v>
      </c>
      <c r="J127" s="8">
        <v>1535439360</v>
      </c>
      <c r="K127" s="8">
        <v>52694169</v>
      </c>
      <c r="L127" s="8">
        <v>91952</v>
      </c>
      <c r="M127" s="8">
        <v>1</v>
      </c>
      <c r="N127" s="8">
        <v>5</v>
      </c>
      <c r="O127" s="8">
        <v>10</v>
      </c>
      <c r="P127" s="8"/>
      <c r="R127">
        <f t="shared" si="35"/>
        <v>0</v>
      </c>
      <c r="S127">
        <f t="shared" si="36"/>
        <v>0</v>
      </c>
      <c r="T127">
        <f t="shared" si="37"/>
        <v>1</v>
      </c>
      <c r="U127" t="str">
        <f t="shared" si="38"/>
        <v/>
      </c>
      <c r="V127" t="str">
        <f t="shared" si="39"/>
        <v/>
      </c>
      <c r="W127">
        <f t="shared" si="40"/>
        <v>1170.2</v>
      </c>
      <c r="X127">
        <f t="shared" si="31"/>
        <v>1</v>
      </c>
    </row>
    <row r="128" spans="1:24" x14ac:dyDescent="0.25">
      <c r="A128" s="8">
        <v>24</v>
      </c>
      <c r="B128" s="8">
        <v>4</v>
      </c>
      <c r="C128" s="8">
        <v>90</v>
      </c>
      <c r="D128" s="8">
        <v>1</v>
      </c>
      <c r="E128" s="8">
        <v>23.4</v>
      </c>
      <c r="F128" s="8">
        <v>25</v>
      </c>
      <c r="G128" s="8">
        <v>4.4000000000000004</v>
      </c>
      <c r="H128" s="8">
        <v>2</v>
      </c>
      <c r="I128" s="8">
        <v>5</v>
      </c>
      <c r="J128" s="8">
        <v>54837120</v>
      </c>
      <c r="K128" s="8">
        <v>85076</v>
      </c>
      <c r="L128" s="8">
        <v>15760</v>
      </c>
      <c r="M128" s="8">
        <v>1</v>
      </c>
      <c r="N128" s="8">
        <v>5</v>
      </c>
      <c r="O128" s="8">
        <v>9</v>
      </c>
      <c r="P128" s="8"/>
      <c r="R128">
        <f t="shared" si="35"/>
        <v>1</v>
      </c>
      <c r="S128">
        <f t="shared" si="36"/>
        <v>0</v>
      </c>
      <c r="T128">
        <f t="shared" si="37"/>
        <v>0</v>
      </c>
      <c r="U128">
        <f t="shared" si="38"/>
        <v>23.4</v>
      </c>
      <c r="V128" t="str">
        <f t="shared" si="39"/>
        <v/>
      </c>
      <c r="W128" t="str">
        <f t="shared" si="40"/>
        <v/>
      </c>
      <c r="X128">
        <f t="shared" si="31"/>
        <v>1</v>
      </c>
    </row>
    <row r="129" spans="1:24" x14ac:dyDescent="0.25">
      <c r="A129" s="8">
        <v>24</v>
      </c>
      <c r="B129" s="8">
        <v>5</v>
      </c>
      <c r="C129" s="8">
        <v>93</v>
      </c>
      <c r="D129" s="8">
        <v>1</v>
      </c>
      <c r="E129" s="8">
        <v>33.799999999999997</v>
      </c>
      <c r="F129" s="8">
        <v>571</v>
      </c>
      <c r="G129" s="8">
        <v>7.7</v>
      </c>
      <c r="H129" s="8">
        <v>2</v>
      </c>
      <c r="I129" s="8">
        <v>11</v>
      </c>
      <c r="J129" s="8">
        <v>54837120</v>
      </c>
      <c r="K129" s="8">
        <v>2</v>
      </c>
      <c r="L129" s="8">
        <v>2</v>
      </c>
      <c r="M129" s="8">
        <v>1</v>
      </c>
      <c r="N129" s="8">
        <v>7</v>
      </c>
      <c r="O129" s="8">
        <v>9</v>
      </c>
      <c r="P129" s="8"/>
      <c r="R129">
        <f t="shared" si="35"/>
        <v>1</v>
      </c>
      <c r="S129">
        <f t="shared" si="36"/>
        <v>0</v>
      </c>
      <c r="T129">
        <f t="shared" si="37"/>
        <v>0</v>
      </c>
      <c r="U129">
        <f t="shared" si="38"/>
        <v>33.799999999999997</v>
      </c>
      <c r="V129" t="str">
        <f t="shared" si="39"/>
        <v/>
      </c>
      <c r="W129" t="str">
        <f t="shared" si="40"/>
        <v/>
      </c>
      <c r="X129">
        <f t="shared" si="31"/>
        <v>1</v>
      </c>
    </row>
    <row r="130" spans="1:24" x14ac:dyDescent="0.25">
      <c r="A130" s="8">
        <v>24</v>
      </c>
      <c r="B130" s="8">
        <v>6</v>
      </c>
      <c r="C130" s="8">
        <v>100</v>
      </c>
      <c r="D130" s="8">
        <v>1</v>
      </c>
      <c r="E130" s="8">
        <v>24.5</v>
      </c>
      <c r="F130" s="8">
        <v>157</v>
      </c>
      <c r="G130" s="8">
        <v>7.3</v>
      </c>
      <c r="H130" s="8">
        <v>3</v>
      </c>
      <c r="I130" s="8">
        <v>10</v>
      </c>
      <c r="J130" s="8">
        <v>54837120</v>
      </c>
      <c r="K130" s="8">
        <v>101</v>
      </c>
      <c r="L130" s="8">
        <v>3</v>
      </c>
      <c r="M130" s="8">
        <v>3</v>
      </c>
      <c r="N130" s="8">
        <v>8</v>
      </c>
      <c r="O130" s="8">
        <v>10</v>
      </c>
      <c r="P130" s="8"/>
      <c r="R130">
        <f t="shared" si="35"/>
        <v>1</v>
      </c>
      <c r="S130">
        <f t="shared" si="36"/>
        <v>0</v>
      </c>
      <c r="T130">
        <f t="shared" si="37"/>
        <v>0</v>
      </c>
      <c r="U130">
        <f t="shared" si="38"/>
        <v>24.5</v>
      </c>
      <c r="V130" t="str">
        <f t="shared" si="39"/>
        <v/>
      </c>
      <c r="W130" t="str">
        <f t="shared" si="40"/>
        <v/>
      </c>
      <c r="X130">
        <f t="shared" si="31"/>
        <v>1</v>
      </c>
    </row>
    <row r="131" spans="1:24" x14ac:dyDescent="0.25">
      <c r="A131" s="8">
        <v>24</v>
      </c>
      <c r="B131" s="8">
        <v>7</v>
      </c>
      <c r="C131" s="8">
        <v>36</v>
      </c>
      <c r="D131" s="8">
        <v>1</v>
      </c>
      <c r="E131" s="8">
        <v>16.399999999999999</v>
      </c>
      <c r="F131" s="8">
        <v>14</v>
      </c>
      <c r="G131" s="8">
        <v>3</v>
      </c>
      <c r="H131" s="8">
        <v>2</v>
      </c>
      <c r="I131" s="8">
        <v>4</v>
      </c>
      <c r="J131" s="8">
        <v>54837120</v>
      </c>
      <c r="K131" s="8">
        <v>3138</v>
      </c>
      <c r="L131" s="8">
        <v>615</v>
      </c>
      <c r="M131" s="8">
        <v>1</v>
      </c>
      <c r="N131" s="8">
        <v>2</v>
      </c>
      <c r="O131" s="8">
        <v>8</v>
      </c>
      <c r="P131" s="8"/>
      <c r="R131">
        <f t="shared" si="35"/>
        <v>1</v>
      </c>
      <c r="S131">
        <f t="shared" si="36"/>
        <v>0</v>
      </c>
      <c r="T131">
        <f t="shared" si="37"/>
        <v>0</v>
      </c>
      <c r="U131">
        <f t="shared" si="38"/>
        <v>16.399999999999999</v>
      </c>
      <c r="V131" t="str">
        <f t="shared" si="39"/>
        <v/>
      </c>
      <c r="W131" t="str">
        <f t="shared" si="40"/>
        <v/>
      </c>
      <c r="X131">
        <f t="shared" si="31"/>
        <v>1</v>
      </c>
    </row>
    <row r="132" spans="1:24" x14ac:dyDescent="0.25">
      <c r="A132" s="8">
        <v>24</v>
      </c>
      <c r="B132" s="8">
        <v>8</v>
      </c>
      <c r="C132" s="8">
        <v>91</v>
      </c>
      <c r="D132" s="8">
        <v>1</v>
      </c>
      <c r="E132" s="8">
        <v>43.8</v>
      </c>
      <c r="F132" s="8">
        <v>77</v>
      </c>
      <c r="G132" s="8">
        <v>8</v>
      </c>
      <c r="H132" s="8">
        <v>2</v>
      </c>
      <c r="I132" s="8">
        <v>10</v>
      </c>
      <c r="J132" s="8">
        <v>54837120</v>
      </c>
      <c r="K132" s="8">
        <v>3380</v>
      </c>
      <c r="L132" s="8">
        <v>12</v>
      </c>
      <c r="M132" s="8">
        <v>2</v>
      </c>
      <c r="N132" s="8">
        <v>8</v>
      </c>
      <c r="O132" s="8">
        <v>9</v>
      </c>
      <c r="P132" s="8"/>
      <c r="R132">
        <f t="shared" si="35"/>
        <v>1</v>
      </c>
      <c r="S132">
        <f t="shared" si="36"/>
        <v>0</v>
      </c>
      <c r="T132">
        <f t="shared" si="37"/>
        <v>0</v>
      </c>
      <c r="U132">
        <f t="shared" si="38"/>
        <v>43.8</v>
      </c>
      <c r="V132" t="str">
        <f t="shared" si="39"/>
        <v/>
      </c>
      <c r="W132" t="str">
        <f t="shared" si="40"/>
        <v/>
      </c>
      <c r="X132">
        <f t="shared" si="31"/>
        <v>1</v>
      </c>
    </row>
    <row r="133" spans="1:24" x14ac:dyDescent="0.25">
      <c r="A133" s="8">
        <v>24</v>
      </c>
      <c r="B133" s="8">
        <v>9</v>
      </c>
      <c r="C133" s="8">
        <v>100</v>
      </c>
      <c r="D133" s="8">
        <v>1</v>
      </c>
      <c r="E133" s="8">
        <v>27.5</v>
      </c>
      <c r="F133" s="8">
        <v>56</v>
      </c>
      <c r="G133" s="8">
        <v>6.1</v>
      </c>
      <c r="H133" s="8">
        <v>3</v>
      </c>
      <c r="I133" s="8">
        <v>8</v>
      </c>
      <c r="J133" s="8">
        <v>54837120</v>
      </c>
      <c r="K133" s="8">
        <v>3286</v>
      </c>
      <c r="L133" s="8">
        <v>36</v>
      </c>
      <c r="M133" s="8">
        <v>1</v>
      </c>
      <c r="N133" s="8">
        <v>5</v>
      </c>
      <c r="O133" s="8">
        <v>10</v>
      </c>
      <c r="P133" s="8"/>
      <c r="R133">
        <f t="shared" si="35"/>
        <v>1</v>
      </c>
      <c r="S133">
        <f t="shared" si="36"/>
        <v>0</v>
      </c>
      <c r="T133">
        <f t="shared" si="37"/>
        <v>0</v>
      </c>
      <c r="U133">
        <f t="shared" si="38"/>
        <v>27.5</v>
      </c>
      <c r="V133" t="str">
        <f t="shared" si="39"/>
        <v/>
      </c>
      <c r="W133" t="str">
        <f t="shared" si="40"/>
        <v/>
      </c>
      <c r="X133">
        <f t="shared" ref="X133:X196" si="41">IF(M133&gt;0,1,0)</f>
        <v>1</v>
      </c>
    </row>
    <row r="134" spans="1:24" x14ac:dyDescent="0.25">
      <c r="A134" s="8">
        <v>24</v>
      </c>
      <c r="B134" s="8">
        <v>10</v>
      </c>
      <c r="C134" s="8">
        <v>100</v>
      </c>
      <c r="D134" s="8">
        <v>1</v>
      </c>
      <c r="E134" s="8">
        <v>42.8</v>
      </c>
      <c r="F134" s="8">
        <v>124</v>
      </c>
      <c r="G134" s="8">
        <v>8.4</v>
      </c>
      <c r="H134" s="8">
        <v>2</v>
      </c>
      <c r="I134" s="8">
        <v>10</v>
      </c>
      <c r="J134" s="8">
        <v>54837120</v>
      </c>
      <c r="K134" s="8">
        <v>103</v>
      </c>
      <c r="L134" s="8">
        <v>4</v>
      </c>
      <c r="M134" s="8">
        <v>1</v>
      </c>
      <c r="N134" s="8">
        <v>7</v>
      </c>
      <c r="O134" s="8">
        <v>10</v>
      </c>
      <c r="P134" s="8"/>
      <c r="R134">
        <f t="shared" si="35"/>
        <v>1</v>
      </c>
      <c r="S134">
        <f t="shared" si="36"/>
        <v>0</v>
      </c>
      <c r="T134">
        <f t="shared" si="37"/>
        <v>0</v>
      </c>
      <c r="U134">
        <f t="shared" si="38"/>
        <v>42.8</v>
      </c>
      <c r="V134" t="str">
        <f t="shared" si="39"/>
        <v/>
      </c>
      <c r="W134" t="str">
        <f t="shared" si="40"/>
        <v/>
      </c>
      <c r="X134">
        <f t="shared" si="41"/>
        <v>1</v>
      </c>
    </row>
    <row r="135" spans="1:24" x14ac:dyDescent="0.25">
      <c r="A135" s="8">
        <v>24</v>
      </c>
      <c r="B135" s="8">
        <v>11</v>
      </c>
      <c r="C135" s="8">
        <v>100</v>
      </c>
      <c r="D135" s="8">
        <v>2</v>
      </c>
      <c r="E135" s="8">
        <v>99.1</v>
      </c>
      <c r="F135" s="8">
        <v>26</v>
      </c>
      <c r="G135" s="8">
        <v>8.1999999999999993</v>
      </c>
      <c r="H135" s="8">
        <v>2</v>
      </c>
      <c r="I135" s="8">
        <v>11</v>
      </c>
      <c r="J135" s="8">
        <v>109674240</v>
      </c>
      <c r="K135" s="8">
        <v>83524</v>
      </c>
      <c r="L135" s="8">
        <v>10</v>
      </c>
      <c r="M135" s="8">
        <v>1</v>
      </c>
      <c r="N135" s="8">
        <v>7</v>
      </c>
      <c r="O135" s="8">
        <v>10</v>
      </c>
      <c r="P135" s="8"/>
      <c r="R135">
        <f t="shared" si="35"/>
        <v>0</v>
      </c>
      <c r="S135">
        <f t="shared" si="36"/>
        <v>1</v>
      </c>
      <c r="T135">
        <f t="shared" si="37"/>
        <v>0</v>
      </c>
      <c r="U135" t="str">
        <f t="shared" si="38"/>
        <v/>
      </c>
      <c r="V135">
        <f t="shared" si="39"/>
        <v>99.1</v>
      </c>
      <c r="W135" t="str">
        <f t="shared" si="40"/>
        <v/>
      </c>
      <c r="X135">
        <f t="shared" si="41"/>
        <v>1</v>
      </c>
    </row>
    <row r="136" spans="1:24" x14ac:dyDescent="0.25">
      <c r="A136" s="8">
        <v>24</v>
      </c>
      <c r="B136" s="8">
        <v>12</v>
      </c>
      <c r="C136" s="8">
        <v>100</v>
      </c>
      <c r="D136" s="8">
        <v>1</v>
      </c>
      <c r="E136" s="8">
        <v>23.4</v>
      </c>
      <c r="F136" s="8">
        <v>18</v>
      </c>
      <c r="G136" s="8">
        <v>4.0999999999999996</v>
      </c>
      <c r="H136" s="8">
        <v>2</v>
      </c>
      <c r="I136" s="8">
        <v>5</v>
      </c>
      <c r="J136" s="8">
        <v>54837120</v>
      </c>
      <c r="K136" s="8">
        <v>3509</v>
      </c>
      <c r="L136" s="8">
        <v>46</v>
      </c>
      <c r="M136" s="8">
        <v>1</v>
      </c>
      <c r="N136" s="8">
        <v>6</v>
      </c>
      <c r="O136" s="8">
        <v>10</v>
      </c>
      <c r="P136" s="8"/>
      <c r="R136">
        <f t="shared" si="35"/>
        <v>1</v>
      </c>
      <c r="S136">
        <f t="shared" si="36"/>
        <v>0</v>
      </c>
      <c r="T136">
        <f t="shared" si="37"/>
        <v>0</v>
      </c>
      <c r="U136">
        <f t="shared" si="38"/>
        <v>23.4</v>
      </c>
      <c r="V136" t="str">
        <f t="shared" si="39"/>
        <v/>
      </c>
      <c r="W136" t="str">
        <f t="shared" si="40"/>
        <v/>
      </c>
      <c r="X136">
        <f t="shared" si="41"/>
        <v>1</v>
      </c>
    </row>
    <row r="137" spans="1:24" x14ac:dyDescent="0.25">
      <c r="A137" s="8">
        <v>24</v>
      </c>
      <c r="B137" s="8">
        <v>13</v>
      </c>
      <c r="C137" s="8">
        <v>100</v>
      </c>
      <c r="D137" s="8">
        <v>1</v>
      </c>
      <c r="E137" s="8">
        <v>16.3</v>
      </c>
      <c r="F137" s="8">
        <v>149</v>
      </c>
      <c r="G137" s="8">
        <v>6.5</v>
      </c>
      <c r="H137" s="8">
        <v>3</v>
      </c>
      <c r="I137" s="8">
        <v>9</v>
      </c>
      <c r="J137" s="8">
        <v>54837120</v>
      </c>
      <c r="K137" s="8">
        <v>13</v>
      </c>
      <c r="L137" s="8">
        <v>3</v>
      </c>
      <c r="M137" s="8">
        <v>2</v>
      </c>
      <c r="N137" s="8">
        <v>6</v>
      </c>
      <c r="O137" s="8">
        <v>10</v>
      </c>
      <c r="P137" s="8"/>
      <c r="R137">
        <f t="shared" si="35"/>
        <v>1</v>
      </c>
      <c r="S137">
        <f t="shared" si="36"/>
        <v>0</v>
      </c>
      <c r="T137">
        <f t="shared" si="37"/>
        <v>0</v>
      </c>
      <c r="U137">
        <f t="shared" si="38"/>
        <v>16.3</v>
      </c>
      <c r="V137" t="str">
        <f t="shared" si="39"/>
        <v/>
      </c>
      <c r="W137" t="str">
        <f t="shared" si="40"/>
        <v/>
      </c>
      <c r="X137">
        <f t="shared" si="41"/>
        <v>1</v>
      </c>
    </row>
    <row r="138" spans="1:24" x14ac:dyDescent="0.25">
      <c r="A138" s="8">
        <v>24</v>
      </c>
      <c r="B138" s="8">
        <v>14</v>
      </c>
      <c r="C138" s="8">
        <v>25</v>
      </c>
      <c r="D138" s="8">
        <v>1</v>
      </c>
      <c r="E138" s="8">
        <v>29.5</v>
      </c>
      <c r="F138" s="8">
        <v>28</v>
      </c>
      <c r="G138" s="8">
        <v>5.9</v>
      </c>
      <c r="H138" s="8">
        <v>2</v>
      </c>
      <c r="I138" s="8">
        <v>9</v>
      </c>
      <c r="J138" s="8">
        <v>54837120</v>
      </c>
      <c r="K138" s="8">
        <v>3296</v>
      </c>
      <c r="L138" s="8">
        <v>7</v>
      </c>
      <c r="M138" s="8">
        <v>3</v>
      </c>
      <c r="N138" s="8">
        <v>6</v>
      </c>
      <c r="O138" s="8">
        <v>10</v>
      </c>
      <c r="P138" s="8"/>
      <c r="R138">
        <f t="shared" si="35"/>
        <v>1</v>
      </c>
      <c r="S138">
        <f t="shared" si="36"/>
        <v>0</v>
      </c>
      <c r="T138">
        <f t="shared" si="37"/>
        <v>0</v>
      </c>
      <c r="U138">
        <f t="shared" si="38"/>
        <v>29.5</v>
      </c>
      <c r="V138" t="str">
        <f t="shared" si="39"/>
        <v/>
      </c>
      <c r="W138" t="str">
        <f t="shared" si="40"/>
        <v/>
      </c>
      <c r="X138">
        <f t="shared" si="41"/>
        <v>1</v>
      </c>
    </row>
    <row r="139" spans="1:24" x14ac:dyDescent="0.25">
      <c r="A139" s="8">
        <v>24</v>
      </c>
      <c r="B139" s="8">
        <v>15</v>
      </c>
      <c r="C139" s="8">
        <v>100</v>
      </c>
      <c r="D139" s="8">
        <v>1</v>
      </c>
      <c r="E139" s="8">
        <v>39.799999999999997</v>
      </c>
      <c r="F139" s="8">
        <v>8</v>
      </c>
      <c r="G139" s="8">
        <v>2.8</v>
      </c>
      <c r="H139" s="8">
        <v>2</v>
      </c>
      <c r="I139" s="8">
        <v>3</v>
      </c>
      <c r="J139" s="8">
        <v>54837120</v>
      </c>
      <c r="K139" s="8">
        <v>1295873</v>
      </c>
      <c r="L139" s="8">
        <v>377398</v>
      </c>
      <c r="M139" s="8">
        <v>1</v>
      </c>
      <c r="N139" s="8">
        <v>4</v>
      </c>
      <c r="O139" s="8">
        <v>10</v>
      </c>
      <c r="P139" s="8"/>
      <c r="R139">
        <f t="shared" si="35"/>
        <v>1</v>
      </c>
      <c r="S139">
        <f t="shared" si="36"/>
        <v>0</v>
      </c>
      <c r="T139">
        <f t="shared" si="37"/>
        <v>0</v>
      </c>
      <c r="U139">
        <f t="shared" si="38"/>
        <v>39.799999999999997</v>
      </c>
      <c r="V139" t="str">
        <f t="shared" si="39"/>
        <v/>
      </c>
      <c r="W139" t="str">
        <f t="shared" si="40"/>
        <v/>
      </c>
      <c r="X139">
        <f t="shared" si="41"/>
        <v>1</v>
      </c>
    </row>
    <row r="140" spans="1:24" x14ac:dyDescent="0.25">
      <c r="A140" s="8">
        <v>24</v>
      </c>
      <c r="B140" s="8">
        <v>16</v>
      </c>
      <c r="C140" s="8">
        <v>100</v>
      </c>
      <c r="D140" s="8">
        <v>1</v>
      </c>
      <c r="E140" s="8">
        <v>765.1</v>
      </c>
      <c r="F140" s="8">
        <v>11</v>
      </c>
      <c r="G140" s="8">
        <v>6.6</v>
      </c>
      <c r="H140" s="8">
        <v>3</v>
      </c>
      <c r="I140" s="8">
        <v>8</v>
      </c>
      <c r="J140" s="8">
        <v>54837120</v>
      </c>
      <c r="K140" s="8">
        <v>18010453</v>
      </c>
      <c r="L140" s="8">
        <v>4324331</v>
      </c>
      <c r="M140" s="8">
        <v>2</v>
      </c>
      <c r="N140" s="8">
        <v>3</v>
      </c>
      <c r="O140" s="8">
        <v>10</v>
      </c>
      <c r="P140" s="8"/>
      <c r="R140">
        <f t="shared" si="35"/>
        <v>1</v>
      </c>
      <c r="S140">
        <f t="shared" si="36"/>
        <v>0</v>
      </c>
      <c r="T140">
        <f t="shared" si="37"/>
        <v>0</v>
      </c>
      <c r="U140">
        <f t="shared" si="38"/>
        <v>765.1</v>
      </c>
      <c r="V140" t="str">
        <f t="shared" si="39"/>
        <v/>
      </c>
      <c r="W140" t="str">
        <f t="shared" si="40"/>
        <v/>
      </c>
      <c r="X140">
        <f t="shared" si="41"/>
        <v>1</v>
      </c>
    </row>
    <row r="141" spans="1:24" x14ac:dyDescent="0.25">
      <c r="A141" s="8">
        <v>24</v>
      </c>
      <c r="B141" s="8">
        <v>17</v>
      </c>
      <c r="C141" s="8">
        <v>45</v>
      </c>
      <c r="D141" s="8">
        <v>1</v>
      </c>
      <c r="E141" s="8">
        <v>48</v>
      </c>
      <c r="F141" s="8">
        <v>151</v>
      </c>
      <c r="G141" s="8">
        <v>9.1999999999999993</v>
      </c>
      <c r="H141" s="8">
        <v>2</v>
      </c>
      <c r="I141" s="8">
        <v>12</v>
      </c>
      <c r="J141" s="8">
        <v>54837120</v>
      </c>
      <c r="K141" s="8">
        <v>126</v>
      </c>
      <c r="L141" s="8">
        <v>2</v>
      </c>
      <c r="M141" s="8">
        <v>2</v>
      </c>
      <c r="N141" s="8">
        <v>7</v>
      </c>
      <c r="O141" s="8">
        <v>10</v>
      </c>
      <c r="P141" s="8"/>
      <c r="R141">
        <f t="shared" si="35"/>
        <v>1</v>
      </c>
      <c r="S141">
        <f t="shared" si="36"/>
        <v>0</v>
      </c>
      <c r="T141">
        <f t="shared" si="37"/>
        <v>0</v>
      </c>
      <c r="U141">
        <f t="shared" si="38"/>
        <v>48</v>
      </c>
      <c r="V141" t="str">
        <f t="shared" si="39"/>
        <v/>
      </c>
      <c r="W141" t="str">
        <f t="shared" si="40"/>
        <v/>
      </c>
      <c r="X141">
        <f t="shared" si="41"/>
        <v>1</v>
      </c>
    </row>
    <row r="142" spans="1:24" x14ac:dyDescent="0.25">
      <c r="A142" s="8">
        <v>24</v>
      </c>
      <c r="B142" s="8">
        <v>18</v>
      </c>
      <c r="C142" s="8">
        <v>100</v>
      </c>
      <c r="D142" s="8">
        <v>1</v>
      </c>
      <c r="E142" s="8">
        <v>31.6</v>
      </c>
      <c r="F142" s="8">
        <v>159</v>
      </c>
      <c r="G142" s="8">
        <v>7</v>
      </c>
      <c r="H142" s="8">
        <v>2</v>
      </c>
      <c r="I142" s="8">
        <v>9</v>
      </c>
      <c r="J142" s="8">
        <v>54837120</v>
      </c>
      <c r="K142" s="8">
        <v>1</v>
      </c>
      <c r="L142" s="8">
        <v>1</v>
      </c>
      <c r="M142" s="8">
        <v>1</v>
      </c>
      <c r="N142" s="8">
        <v>9</v>
      </c>
      <c r="O142" s="8">
        <v>10</v>
      </c>
      <c r="P142" s="8"/>
      <c r="R142">
        <f t="shared" si="35"/>
        <v>1</v>
      </c>
      <c r="S142">
        <f t="shared" si="36"/>
        <v>0</v>
      </c>
      <c r="T142">
        <f t="shared" si="37"/>
        <v>0</v>
      </c>
      <c r="U142">
        <f t="shared" si="38"/>
        <v>31.6</v>
      </c>
      <c r="V142" t="str">
        <f t="shared" si="39"/>
        <v/>
      </c>
      <c r="W142" t="str">
        <f t="shared" si="40"/>
        <v/>
      </c>
      <c r="X142">
        <f t="shared" si="41"/>
        <v>1</v>
      </c>
    </row>
    <row r="143" spans="1:24" x14ac:dyDescent="0.25">
      <c r="A143" s="8">
        <v>24</v>
      </c>
      <c r="B143" s="8">
        <v>19</v>
      </c>
      <c r="C143" s="8">
        <v>100</v>
      </c>
      <c r="D143" s="8">
        <v>1</v>
      </c>
      <c r="E143" s="8">
        <v>34.9</v>
      </c>
      <c r="F143" s="8">
        <v>41</v>
      </c>
      <c r="G143" s="8">
        <v>5.6</v>
      </c>
      <c r="H143" s="8">
        <v>2</v>
      </c>
      <c r="I143" s="8">
        <v>8</v>
      </c>
      <c r="J143" s="8">
        <v>54837120</v>
      </c>
      <c r="K143" s="8">
        <v>127</v>
      </c>
      <c r="L143" s="8">
        <v>5</v>
      </c>
      <c r="M143" s="8">
        <v>2</v>
      </c>
      <c r="N143" s="8">
        <v>8</v>
      </c>
      <c r="O143" s="8">
        <v>10</v>
      </c>
      <c r="P143" s="8"/>
      <c r="R143">
        <f t="shared" si="35"/>
        <v>1</v>
      </c>
      <c r="S143">
        <f t="shared" si="36"/>
        <v>0</v>
      </c>
      <c r="T143">
        <f t="shared" si="37"/>
        <v>0</v>
      </c>
      <c r="U143">
        <f t="shared" si="38"/>
        <v>34.9</v>
      </c>
      <c r="V143" t="str">
        <f t="shared" si="39"/>
        <v/>
      </c>
      <c r="W143" t="str">
        <f t="shared" si="40"/>
        <v/>
      </c>
      <c r="X143">
        <f t="shared" si="41"/>
        <v>1</v>
      </c>
    </row>
    <row r="144" spans="1:24" x14ac:dyDescent="0.25">
      <c r="A144" s="8">
        <v>24</v>
      </c>
      <c r="B144" s="8">
        <v>20</v>
      </c>
      <c r="C144" s="8">
        <v>100</v>
      </c>
      <c r="D144" s="8">
        <v>1</v>
      </c>
      <c r="E144" s="8">
        <v>32.799999999999997</v>
      </c>
      <c r="F144" s="8">
        <v>164</v>
      </c>
      <c r="G144" s="8">
        <v>8</v>
      </c>
      <c r="H144" s="8">
        <v>2</v>
      </c>
      <c r="I144" s="8">
        <v>12</v>
      </c>
      <c r="J144" s="8">
        <v>54837120</v>
      </c>
      <c r="K144" s="8">
        <v>7</v>
      </c>
      <c r="L144" s="8">
        <v>1</v>
      </c>
      <c r="M144" s="8">
        <v>1</v>
      </c>
      <c r="N144" s="8">
        <v>7</v>
      </c>
      <c r="O144" s="8">
        <v>10</v>
      </c>
      <c r="P144" s="8"/>
      <c r="R144">
        <f t="shared" si="35"/>
        <v>1</v>
      </c>
      <c r="S144">
        <f t="shared" si="36"/>
        <v>0</v>
      </c>
      <c r="T144">
        <f t="shared" si="37"/>
        <v>0</v>
      </c>
      <c r="U144">
        <f t="shared" si="38"/>
        <v>32.799999999999997</v>
      </c>
      <c r="V144" t="str">
        <f t="shared" si="39"/>
        <v/>
      </c>
      <c r="W144" t="str">
        <f t="shared" si="40"/>
        <v/>
      </c>
      <c r="X144">
        <f t="shared" si="41"/>
        <v>1</v>
      </c>
    </row>
    <row r="145" spans="1:24" x14ac:dyDescent="0.25">
      <c r="A145" s="8">
        <v>24</v>
      </c>
      <c r="B145" s="8">
        <v>21</v>
      </c>
      <c r="C145" s="8">
        <v>100</v>
      </c>
      <c r="D145" s="8">
        <v>1</v>
      </c>
      <c r="E145" s="8">
        <v>23.6</v>
      </c>
      <c r="F145" s="8">
        <v>184</v>
      </c>
      <c r="G145" s="8">
        <v>8.6</v>
      </c>
      <c r="H145" s="8">
        <v>4</v>
      </c>
      <c r="I145" s="8">
        <v>12</v>
      </c>
      <c r="J145" s="8">
        <v>54837120</v>
      </c>
      <c r="K145" s="8">
        <v>106</v>
      </c>
      <c r="L145" s="8">
        <v>1</v>
      </c>
      <c r="M145" s="8">
        <v>1</v>
      </c>
      <c r="N145" s="8">
        <v>7</v>
      </c>
      <c r="O145" s="8">
        <v>10</v>
      </c>
      <c r="P145" s="8"/>
      <c r="R145">
        <f t="shared" si="35"/>
        <v>1</v>
      </c>
      <c r="S145">
        <f t="shared" si="36"/>
        <v>0</v>
      </c>
      <c r="T145">
        <f t="shared" si="37"/>
        <v>0</v>
      </c>
      <c r="U145">
        <f t="shared" si="38"/>
        <v>23.6</v>
      </c>
      <c r="V145" t="str">
        <f t="shared" si="39"/>
        <v/>
      </c>
      <c r="W145" t="str">
        <f t="shared" si="40"/>
        <v/>
      </c>
      <c r="X145">
        <f t="shared" si="41"/>
        <v>1</v>
      </c>
    </row>
    <row r="146" spans="1:24" x14ac:dyDescent="0.25">
      <c r="A146" s="8">
        <v>24</v>
      </c>
      <c r="B146" s="8">
        <v>22</v>
      </c>
      <c r="C146" s="8">
        <v>100</v>
      </c>
      <c r="D146" s="8">
        <v>1</v>
      </c>
      <c r="E146" s="8">
        <v>37.799999999999997</v>
      </c>
      <c r="F146" s="8">
        <v>48</v>
      </c>
      <c r="G146" s="8">
        <v>7.5</v>
      </c>
      <c r="H146" s="8">
        <v>4</v>
      </c>
      <c r="I146" s="8">
        <v>9</v>
      </c>
      <c r="J146" s="8">
        <v>54837120</v>
      </c>
      <c r="K146" s="8">
        <v>81334</v>
      </c>
      <c r="L146" s="8">
        <v>132</v>
      </c>
      <c r="M146" s="8">
        <v>1</v>
      </c>
      <c r="N146" s="8">
        <v>6</v>
      </c>
      <c r="O146" s="8">
        <v>10</v>
      </c>
      <c r="P146" s="8"/>
      <c r="R146">
        <f t="shared" si="35"/>
        <v>1</v>
      </c>
      <c r="S146">
        <f t="shared" si="36"/>
        <v>0</v>
      </c>
      <c r="T146">
        <f t="shared" si="37"/>
        <v>0</v>
      </c>
      <c r="U146">
        <f t="shared" si="38"/>
        <v>37.799999999999997</v>
      </c>
      <c r="V146" t="str">
        <f t="shared" si="39"/>
        <v/>
      </c>
      <c r="W146" t="str">
        <f t="shared" si="40"/>
        <v/>
      </c>
      <c r="X146">
        <f t="shared" si="41"/>
        <v>1</v>
      </c>
    </row>
    <row r="147" spans="1:24" x14ac:dyDescent="0.25">
      <c r="A147" s="8">
        <v>24</v>
      </c>
      <c r="B147" s="8">
        <v>23</v>
      </c>
      <c r="C147" s="8">
        <v>100</v>
      </c>
      <c r="D147" s="8">
        <v>1</v>
      </c>
      <c r="E147" s="8">
        <v>1275.0999999999999</v>
      </c>
      <c r="F147" s="8">
        <v>6</v>
      </c>
      <c r="G147" s="8">
        <v>3</v>
      </c>
      <c r="H147" s="8">
        <v>3</v>
      </c>
      <c r="I147" s="8">
        <v>3</v>
      </c>
      <c r="J147" s="8">
        <v>54837120</v>
      </c>
      <c r="K147" s="8">
        <v>17908043</v>
      </c>
      <c r="L147" s="8">
        <v>9615402</v>
      </c>
      <c r="M147" s="8">
        <v>1</v>
      </c>
      <c r="N147" s="8">
        <v>1</v>
      </c>
      <c r="O147" s="8">
        <v>10</v>
      </c>
      <c r="P147" s="8"/>
      <c r="R147">
        <f t="shared" si="35"/>
        <v>1</v>
      </c>
      <c r="S147">
        <f t="shared" si="36"/>
        <v>0</v>
      </c>
      <c r="T147">
        <f t="shared" si="37"/>
        <v>0</v>
      </c>
      <c r="U147">
        <f t="shared" si="38"/>
        <v>1275.0999999999999</v>
      </c>
      <c r="V147" t="str">
        <f t="shared" si="39"/>
        <v/>
      </c>
      <c r="W147" t="str">
        <f t="shared" si="40"/>
        <v/>
      </c>
      <c r="X147">
        <f t="shared" si="41"/>
        <v>1</v>
      </c>
    </row>
    <row r="148" spans="1:24" x14ac:dyDescent="0.25">
      <c r="A148" s="8">
        <v>24</v>
      </c>
      <c r="B148" s="8">
        <v>24</v>
      </c>
      <c r="C148" s="8">
        <v>100</v>
      </c>
      <c r="D148" s="8">
        <v>1</v>
      </c>
      <c r="E148" s="8">
        <v>15.4</v>
      </c>
      <c r="F148" s="8">
        <v>7</v>
      </c>
      <c r="G148" s="8">
        <v>2.4</v>
      </c>
      <c r="H148" s="8">
        <v>2</v>
      </c>
      <c r="I148" s="8">
        <v>3</v>
      </c>
      <c r="J148" s="8">
        <v>54837120</v>
      </c>
      <c r="K148" s="8">
        <v>97697</v>
      </c>
      <c r="L148" s="8">
        <v>37106</v>
      </c>
      <c r="M148" s="8">
        <v>2</v>
      </c>
      <c r="N148" s="8">
        <v>3</v>
      </c>
      <c r="O148" s="8">
        <v>10</v>
      </c>
      <c r="P148" s="8"/>
      <c r="R148">
        <f t="shared" si="35"/>
        <v>1</v>
      </c>
      <c r="S148">
        <f t="shared" si="36"/>
        <v>0</v>
      </c>
      <c r="T148">
        <f t="shared" si="37"/>
        <v>0</v>
      </c>
      <c r="U148">
        <f t="shared" si="38"/>
        <v>15.4</v>
      </c>
      <c r="V148" t="str">
        <f t="shared" si="39"/>
        <v/>
      </c>
      <c r="W148" t="str">
        <f t="shared" si="40"/>
        <v/>
      </c>
      <c r="X148">
        <f t="shared" si="41"/>
        <v>1</v>
      </c>
    </row>
    <row r="149" spans="1:24" x14ac:dyDescent="0.25">
      <c r="A149" s="8">
        <v>24</v>
      </c>
      <c r="B149" s="8">
        <v>25</v>
      </c>
      <c r="C149" s="8">
        <v>100</v>
      </c>
      <c r="D149" s="8">
        <v>1</v>
      </c>
      <c r="E149" s="8">
        <v>16.3</v>
      </c>
      <c r="F149" s="8">
        <v>35</v>
      </c>
      <c r="G149" s="8">
        <v>5.7</v>
      </c>
      <c r="H149" s="8">
        <v>2</v>
      </c>
      <c r="I149" s="8">
        <v>7</v>
      </c>
      <c r="J149" s="8">
        <v>54837120</v>
      </c>
      <c r="K149" s="8">
        <v>79686</v>
      </c>
      <c r="L149" s="8">
        <v>2352</v>
      </c>
      <c r="M149" s="8">
        <v>1</v>
      </c>
      <c r="N149" s="8">
        <v>6</v>
      </c>
      <c r="O149" s="8">
        <v>10</v>
      </c>
      <c r="P149" s="8"/>
      <c r="R149">
        <f t="shared" si="35"/>
        <v>1</v>
      </c>
      <c r="S149">
        <f t="shared" si="36"/>
        <v>0</v>
      </c>
      <c r="T149">
        <f t="shared" si="37"/>
        <v>0</v>
      </c>
      <c r="U149">
        <f t="shared" si="38"/>
        <v>16.3</v>
      </c>
      <c r="V149" t="str">
        <f t="shared" si="39"/>
        <v/>
      </c>
      <c r="W149" t="str">
        <f t="shared" si="40"/>
        <v/>
      </c>
      <c r="X149">
        <f t="shared" si="41"/>
        <v>1</v>
      </c>
    </row>
    <row r="150" spans="1:24" x14ac:dyDescent="0.25">
      <c r="A150" s="8">
        <v>24</v>
      </c>
      <c r="B150" s="8">
        <v>26</v>
      </c>
      <c r="C150" s="8">
        <v>32</v>
      </c>
      <c r="D150" s="8">
        <v>1</v>
      </c>
      <c r="E150" s="8">
        <v>948.7</v>
      </c>
      <c r="F150" s="8">
        <v>6</v>
      </c>
      <c r="G150" s="8">
        <v>3.3</v>
      </c>
      <c r="H150" s="8">
        <v>2</v>
      </c>
      <c r="I150" s="8">
        <v>4</v>
      </c>
      <c r="J150" s="8">
        <v>54837120</v>
      </c>
      <c r="K150" s="8">
        <v>20133396</v>
      </c>
      <c r="L150" s="8">
        <v>11270169</v>
      </c>
      <c r="M150" s="8">
        <v>1</v>
      </c>
      <c r="N150" s="8">
        <v>2</v>
      </c>
      <c r="O150" s="8">
        <v>10</v>
      </c>
      <c r="P150" s="8"/>
      <c r="R150">
        <f t="shared" si="35"/>
        <v>1</v>
      </c>
      <c r="S150">
        <f t="shared" si="36"/>
        <v>0</v>
      </c>
      <c r="T150">
        <f t="shared" si="37"/>
        <v>0</v>
      </c>
      <c r="U150">
        <f t="shared" si="38"/>
        <v>948.7</v>
      </c>
      <c r="V150" t="str">
        <f t="shared" si="39"/>
        <v/>
      </c>
      <c r="W150" t="str">
        <f t="shared" si="40"/>
        <v/>
      </c>
      <c r="X150">
        <f t="shared" si="41"/>
        <v>1</v>
      </c>
    </row>
    <row r="151" spans="1:24" x14ac:dyDescent="0.25">
      <c r="A151" s="8">
        <v>24</v>
      </c>
      <c r="B151" s="8">
        <v>27</v>
      </c>
      <c r="C151" s="8">
        <v>40</v>
      </c>
      <c r="D151" s="8">
        <v>1</v>
      </c>
      <c r="E151" s="8">
        <v>26.5</v>
      </c>
      <c r="F151" s="8">
        <v>167</v>
      </c>
      <c r="G151" s="8">
        <v>5.3</v>
      </c>
      <c r="H151" s="8">
        <v>3</v>
      </c>
      <c r="I151" s="8">
        <v>7</v>
      </c>
      <c r="J151" s="8">
        <v>54837120</v>
      </c>
      <c r="K151" s="8">
        <v>6</v>
      </c>
      <c r="L151" s="8">
        <v>1</v>
      </c>
      <c r="M151" s="8">
        <v>1</v>
      </c>
      <c r="N151" s="8">
        <v>6</v>
      </c>
      <c r="O151" s="8">
        <v>9</v>
      </c>
      <c r="P151" s="8"/>
      <c r="R151">
        <f t="shared" si="35"/>
        <v>1</v>
      </c>
      <c r="S151">
        <f t="shared" si="36"/>
        <v>0</v>
      </c>
      <c r="T151">
        <f t="shared" si="37"/>
        <v>0</v>
      </c>
      <c r="U151">
        <f t="shared" si="38"/>
        <v>26.5</v>
      </c>
      <c r="V151" t="str">
        <f t="shared" si="39"/>
        <v/>
      </c>
      <c r="W151" t="str">
        <f t="shared" si="40"/>
        <v/>
      </c>
      <c r="X151">
        <f t="shared" si="41"/>
        <v>1</v>
      </c>
    </row>
    <row r="152" spans="1:24" x14ac:dyDescent="0.25">
      <c r="A152" s="8">
        <v>24</v>
      </c>
      <c r="B152" s="8">
        <v>28</v>
      </c>
      <c r="C152" s="8">
        <v>100</v>
      </c>
      <c r="D152" s="8">
        <v>2</v>
      </c>
      <c r="E152" s="8">
        <v>63.4</v>
      </c>
      <c r="F152" s="8">
        <v>20</v>
      </c>
      <c r="G152" s="8">
        <v>5.5</v>
      </c>
      <c r="H152" s="8">
        <v>2</v>
      </c>
      <c r="I152" s="8">
        <v>7</v>
      </c>
      <c r="J152" s="8">
        <v>109674240</v>
      </c>
      <c r="K152" s="8">
        <v>88328</v>
      </c>
      <c r="L152" s="8">
        <v>2083</v>
      </c>
      <c r="M152" s="8">
        <v>1</v>
      </c>
      <c r="N152" s="8">
        <v>5</v>
      </c>
      <c r="O152" s="8">
        <v>10</v>
      </c>
      <c r="P152" s="8"/>
      <c r="R152">
        <f t="shared" si="35"/>
        <v>0</v>
      </c>
      <c r="S152">
        <f t="shared" si="36"/>
        <v>1</v>
      </c>
      <c r="T152">
        <f t="shared" si="37"/>
        <v>0</v>
      </c>
      <c r="U152" t="str">
        <f t="shared" si="38"/>
        <v/>
      </c>
      <c r="V152">
        <f t="shared" si="39"/>
        <v>63.4</v>
      </c>
      <c r="W152" t="str">
        <f t="shared" si="40"/>
        <v/>
      </c>
      <c r="X152">
        <f t="shared" si="41"/>
        <v>1</v>
      </c>
    </row>
    <row r="153" spans="1:24" x14ac:dyDescent="0.25">
      <c r="A153" s="8">
        <v>24</v>
      </c>
      <c r="B153" s="8">
        <v>29</v>
      </c>
      <c r="C153" s="8">
        <v>73</v>
      </c>
      <c r="D153" s="8">
        <v>1</v>
      </c>
      <c r="E153" s="8">
        <v>39.700000000000003</v>
      </c>
      <c r="F153" s="8">
        <v>46</v>
      </c>
      <c r="G153" s="8">
        <v>7.1</v>
      </c>
      <c r="H153" s="8">
        <v>2</v>
      </c>
      <c r="I153" s="8">
        <v>9</v>
      </c>
      <c r="J153" s="8">
        <v>54837120</v>
      </c>
      <c r="K153" s="8">
        <v>80193</v>
      </c>
      <c r="L153" s="8">
        <v>645</v>
      </c>
      <c r="M153" s="8">
        <v>1</v>
      </c>
      <c r="N153" s="8">
        <v>5</v>
      </c>
      <c r="O153" s="8">
        <v>9</v>
      </c>
      <c r="P153" s="8"/>
      <c r="R153">
        <f t="shared" si="35"/>
        <v>1</v>
      </c>
      <c r="S153">
        <f t="shared" si="36"/>
        <v>0</v>
      </c>
      <c r="T153">
        <f t="shared" si="37"/>
        <v>0</v>
      </c>
      <c r="U153">
        <f t="shared" si="38"/>
        <v>39.700000000000003</v>
      </c>
      <c r="V153" t="str">
        <f t="shared" si="39"/>
        <v/>
      </c>
      <c r="W153" t="str">
        <f t="shared" si="40"/>
        <v/>
      </c>
      <c r="X153">
        <f t="shared" si="41"/>
        <v>1</v>
      </c>
    </row>
    <row r="154" spans="1:24" x14ac:dyDescent="0.25">
      <c r="A154" s="8">
        <v>25</v>
      </c>
      <c r="B154" s="8">
        <v>0</v>
      </c>
      <c r="C154" s="8">
        <v>75</v>
      </c>
      <c r="D154" s="8">
        <v>1</v>
      </c>
      <c r="E154" s="8">
        <v>28.6</v>
      </c>
      <c r="F154" s="8">
        <v>16</v>
      </c>
      <c r="G154" s="8">
        <v>3.6</v>
      </c>
      <c r="H154" s="8">
        <v>2</v>
      </c>
      <c r="I154" s="8">
        <v>5</v>
      </c>
      <c r="J154" s="8">
        <v>54837120</v>
      </c>
      <c r="K154" s="8">
        <v>2034507</v>
      </c>
      <c r="L154" s="8">
        <v>722397</v>
      </c>
      <c r="M154" s="8">
        <v>1</v>
      </c>
      <c r="N154" s="8">
        <v>3</v>
      </c>
      <c r="O154" s="8">
        <v>10</v>
      </c>
      <c r="P154" s="8"/>
      <c r="R154">
        <f t="shared" si="35"/>
        <v>1</v>
      </c>
      <c r="S154">
        <f t="shared" si="36"/>
        <v>0</v>
      </c>
      <c r="T154">
        <f t="shared" si="37"/>
        <v>0</v>
      </c>
      <c r="U154">
        <f t="shared" si="38"/>
        <v>28.6</v>
      </c>
      <c r="V154" t="str">
        <f t="shared" si="39"/>
        <v/>
      </c>
      <c r="W154" t="str">
        <f t="shared" si="40"/>
        <v/>
      </c>
      <c r="X154">
        <f t="shared" si="41"/>
        <v>1</v>
      </c>
    </row>
    <row r="155" spans="1:24" x14ac:dyDescent="0.25">
      <c r="A155" s="8">
        <v>25</v>
      </c>
      <c r="B155" s="8">
        <v>1</v>
      </c>
      <c r="C155" s="8">
        <v>43</v>
      </c>
      <c r="D155" s="8">
        <v>1</v>
      </c>
      <c r="E155" s="8">
        <v>23.5</v>
      </c>
      <c r="F155" s="8">
        <v>20</v>
      </c>
      <c r="G155" s="8">
        <v>4.9000000000000004</v>
      </c>
      <c r="H155" s="8">
        <v>2</v>
      </c>
      <c r="I155" s="8">
        <v>7</v>
      </c>
      <c r="J155" s="8">
        <v>54837120</v>
      </c>
      <c r="K155" s="8">
        <v>82964</v>
      </c>
      <c r="L155" s="8">
        <v>2215</v>
      </c>
      <c r="M155" s="8">
        <v>2</v>
      </c>
      <c r="N155" s="8">
        <v>6</v>
      </c>
      <c r="O155" s="8">
        <v>10</v>
      </c>
      <c r="P155" s="8"/>
      <c r="R155">
        <f t="shared" si="35"/>
        <v>1</v>
      </c>
      <c r="S155">
        <f t="shared" si="36"/>
        <v>0</v>
      </c>
      <c r="T155">
        <f t="shared" si="37"/>
        <v>0</v>
      </c>
      <c r="U155">
        <f t="shared" si="38"/>
        <v>23.5</v>
      </c>
      <c r="V155" t="str">
        <f t="shared" si="39"/>
        <v/>
      </c>
      <c r="W155" t="str">
        <f t="shared" si="40"/>
        <v/>
      </c>
      <c r="X155">
        <f t="shared" si="41"/>
        <v>1</v>
      </c>
    </row>
    <row r="156" spans="1:24" x14ac:dyDescent="0.25">
      <c r="A156" s="8">
        <v>25</v>
      </c>
      <c r="B156" s="8">
        <v>2</v>
      </c>
      <c r="C156" s="8">
        <v>56</v>
      </c>
      <c r="D156" s="8">
        <v>2</v>
      </c>
      <c r="E156" s="8">
        <v>49.1</v>
      </c>
      <c r="F156" s="8">
        <v>553</v>
      </c>
      <c r="G156" s="8">
        <v>8.6999999999999993</v>
      </c>
      <c r="H156" s="8">
        <v>3</v>
      </c>
      <c r="I156" s="8">
        <v>13</v>
      </c>
      <c r="J156" s="8">
        <v>109674240</v>
      </c>
      <c r="K156" s="8">
        <v>1</v>
      </c>
      <c r="L156" s="8">
        <v>1</v>
      </c>
      <c r="M156" s="8">
        <v>1</v>
      </c>
      <c r="N156" s="8">
        <v>7</v>
      </c>
      <c r="O156" s="8">
        <v>10</v>
      </c>
      <c r="P156" s="8"/>
      <c r="R156">
        <f t="shared" si="35"/>
        <v>0</v>
      </c>
      <c r="S156">
        <f t="shared" si="36"/>
        <v>1</v>
      </c>
      <c r="T156">
        <f t="shared" si="37"/>
        <v>0</v>
      </c>
      <c r="U156" t="str">
        <f t="shared" si="38"/>
        <v/>
      </c>
      <c r="V156">
        <f t="shared" si="39"/>
        <v>49.1</v>
      </c>
      <c r="W156" t="str">
        <f t="shared" si="40"/>
        <v/>
      </c>
      <c r="X156">
        <f t="shared" si="41"/>
        <v>1</v>
      </c>
    </row>
    <row r="157" spans="1:24" x14ac:dyDescent="0.25">
      <c r="A157" s="8">
        <v>25</v>
      </c>
      <c r="B157" s="8">
        <v>3</v>
      </c>
      <c r="C157" s="8">
        <v>89</v>
      </c>
      <c r="D157" s="8">
        <v>2</v>
      </c>
      <c r="E157" s="8">
        <v>59.1</v>
      </c>
      <c r="F157" s="8">
        <v>270</v>
      </c>
      <c r="G157" s="8">
        <v>8.5</v>
      </c>
      <c r="H157" s="8">
        <v>3</v>
      </c>
      <c r="I157" s="8">
        <v>12</v>
      </c>
      <c r="J157" s="8">
        <v>109674240</v>
      </c>
      <c r="K157" s="8">
        <v>2</v>
      </c>
      <c r="L157" s="8">
        <v>1</v>
      </c>
      <c r="M157" s="8">
        <v>1</v>
      </c>
      <c r="N157" s="8">
        <v>9</v>
      </c>
      <c r="O157" s="8">
        <v>9</v>
      </c>
      <c r="P157" s="8"/>
      <c r="R157">
        <f t="shared" si="35"/>
        <v>0</v>
      </c>
      <c r="S157">
        <f t="shared" si="36"/>
        <v>1</v>
      </c>
      <c r="T157">
        <f t="shared" si="37"/>
        <v>0</v>
      </c>
      <c r="U157" t="str">
        <f t="shared" si="38"/>
        <v/>
      </c>
      <c r="V157">
        <f t="shared" si="39"/>
        <v>59.1</v>
      </c>
      <c r="W157" t="str">
        <f t="shared" si="40"/>
        <v/>
      </c>
      <c r="X157">
        <f t="shared" si="41"/>
        <v>1</v>
      </c>
    </row>
    <row r="158" spans="1:24" x14ac:dyDescent="0.25">
      <c r="A158" s="8">
        <v>25</v>
      </c>
      <c r="B158" s="8">
        <v>4</v>
      </c>
      <c r="C158" s="8">
        <v>82</v>
      </c>
      <c r="D158" s="8">
        <v>1</v>
      </c>
      <c r="E158" s="8">
        <v>26.6</v>
      </c>
      <c r="F158" s="8">
        <v>586</v>
      </c>
      <c r="G158" s="8">
        <v>7.3</v>
      </c>
      <c r="H158" s="8">
        <v>3</v>
      </c>
      <c r="I158" s="8">
        <v>10</v>
      </c>
      <c r="J158" s="8">
        <v>54837120</v>
      </c>
      <c r="K158" s="8">
        <v>1</v>
      </c>
      <c r="L158" s="8">
        <v>1</v>
      </c>
      <c r="M158" s="8">
        <v>1</v>
      </c>
      <c r="N158" s="8">
        <v>6</v>
      </c>
      <c r="O158" s="8">
        <v>9</v>
      </c>
      <c r="P158" s="8"/>
      <c r="R158">
        <f t="shared" si="35"/>
        <v>1</v>
      </c>
      <c r="S158">
        <f t="shared" si="36"/>
        <v>0</v>
      </c>
      <c r="T158">
        <f t="shared" si="37"/>
        <v>0</v>
      </c>
      <c r="U158">
        <f t="shared" si="38"/>
        <v>26.6</v>
      </c>
      <c r="V158" t="str">
        <f t="shared" si="39"/>
        <v/>
      </c>
      <c r="W158" t="str">
        <f t="shared" si="40"/>
        <v/>
      </c>
      <c r="X158">
        <f t="shared" si="41"/>
        <v>1</v>
      </c>
    </row>
    <row r="159" spans="1:24" x14ac:dyDescent="0.25">
      <c r="A159" s="8">
        <v>25</v>
      </c>
      <c r="B159" s="8">
        <v>5</v>
      </c>
      <c r="C159" s="8">
        <v>70</v>
      </c>
      <c r="D159" s="8">
        <v>1</v>
      </c>
      <c r="E159" s="8">
        <v>34.799999999999997</v>
      </c>
      <c r="F159" s="8">
        <v>111</v>
      </c>
      <c r="G159" s="8">
        <v>8.4</v>
      </c>
      <c r="H159" s="8">
        <v>2</v>
      </c>
      <c r="I159" s="8">
        <v>12</v>
      </c>
      <c r="J159" s="8">
        <v>54837120</v>
      </c>
      <c r="K159" s="8">
        <v>131</v>
      </c>
      <c r="L159" s="8">
        <v>4</v>
      </c>
      <c r="M159" s="8">
        <v>4</v>
      </c>
      <c r="N159" s="8">
        <v>7</v>
      </c>
      <c r="O159" s="8">
        <v>10</v>
      </c>
      <c r="P159" s="8"/>
      <c r="R159">
        <f t="shared" ref="R159:R222" si="42">IF(D159=1,1,0)</f>
        <v>1</v>
      </c>
      <c r="S159">
        <f t="shared" ref="S159:S222" si="43">IF(D159=2,1,0)</f>
        <v>0</v>
      </c>
      <c r="T159">
        <f t="shared" ref="T159:T222" si="44">IF(D159=3,1,0)</f>
        <v>0</v>
      </c>
      <c r="U159">
        <f t="shared" si="38"/>
        <v>34.799999999999997</v>
      </c>
      <c r="V159" t="str">
        <f t="shared" si="39"/>
        <v/>
      </c>
      <c r="W159" t="str">
        <f t="shared" si="40"/>
        <v/>
      </c>
      <c r="X159">
        <f t="shared" si="41"/>
        <v>1</v>
      </c>
    </row>
    <row r="160" spans="1:24" x14ac:dyDescent="0.25">
      <c r="A160" s="8">
        <v>25</v>
      </c>
      <c r="B160" s="8">
        <v>6</v>
      </c>
      <c r="C160" s="8">
        <v>100</v>
      </c>
      <c r="D160" s="8">
        <v>2</v>
      </c>
      <c r="E160" s="8">
        <v>79.8</v>
      </c>
      <c r="F160" s="8">
        <v>56</v>
      </c>
      <c r="G160" s="8">
        <v>7.6</v>
      </c>
      <c r="H160" s="8">
        <v>4</v>
      </c>
      <c r="I160" s="8">
        <v>10</v>
      </c>
      <c r="J160" s="8">
        <v>109674240</v>
      </c>
      <c r="K160" s="8">
        <v>3085</v>
      </c>
      <c r="L160" s="8">
        <v>1</v>
      </c>
      <c r="M160" s="8">
        <v>1</v>
      </c>
      <c r="N160" s="8">
        <v>9</v>
      </c>
      <c r="O160" s="8">
        <v>10</v>
      </c>
      <c r="P160" s="8"/>
      <c r="R160">
        <f t="shared" si="42"/>
        <v>0</v>
      </c>
      <c r="S160">
        <f t="shared" si="43"/>
        <v>1</v>
      </c>
      <c r="T160">
        <f t="shared" si="44"/>
        <v>0</v>
      </c>
      <c r="U160" t="str">
        <f t="shared" si="38"/>
        <v/>
      </c>
      <c r="V160">
        <f t="shared" si="39"/>
        <v>79.8</v>
      </c>
      <c r="W160" t="str">
        <f t="shared" si="40"/>
        <v/>
      </c>
      <c r="X160">
        <f t="shared" si="41"/>
        <v>1</v>
      </c>
    </row>
    <row r="161" spans="1:24" x14ac:dyDescent="0.25">
      <c r="A161" s="8">
        <v>25</v>
      </c>
      <c r="B161" s="8">
        <v>7</v>
      </c>
      <c r="C161" s="8">
        <v>100</v>
      </c>
      <c r="D161" s="8">
        <v>1</v>
      </c>
      <c r="E161" s="8">
        <v>31.8</v>
      </c>
      <c r="F161" s="8">
        <v>363</v>
      </c>
      <c r="G161" s="8">
        <v>7.7</v>
      </c>
      <c r="H161" s="8">
        <v>2</v>
      </c>
      <c r="I161" s="8">
        <v>10</v>
      </c>
      <c r="J161" s="8">
        <v>54837120</v>
      </c>
      <c r="K161" s="8">
        <v>1</v>
      </c>
      <c r="L161" s="8">
        <v>1</v>
      </c>
      <c r="M161" s="8">
        <v>1</v>
      </c>
      <c r="N161" s="8">
        <v>10</v>
      </c>
      <c r="O161" s="8">
        <v>10</v>
      </c>
      <c r="P161" s="8"/>
      <c r="R161">
        <f t="shared" si="42"/>
        <v>1</v>
      </c>
      <c r="S161">
        <f t="shared" si="43"/>
        <v>0</v>
      </c>
      <c r="T161">
        <f t="shared" si="44"/>
        <v>0</v>
      </c>
      <c r="U161">
        <f t="shared" ref="U161:U224" si="45">IF(D161=1,E161,"")</f>
        <v>31.8</v>
      </c>
      <c r="V161" t="str">
        <f t="shared" ref="V161:V224" si="46">IF(D161=2,E161,"")</f>
        <v/>
      </c>
      <c r="W161" t="str">
        <f t="shared" ref="W161:W224" si="47">IF(D161=3,E161,"")</f>
        <v/>
      </c>
      <c r="X161">
        <f t="shared" si="41"/>
        <v>1</v>
      </c>
    </row>
    <row r="162" spans="1:24" x14ac:dyDescent="0.25">
      <c r="A162" s="8">
        <v>25</v>
      </c>
      <c r="B162" s="8">
        <v>8</v>
      </c>
      <c r="C162" s="8">
        <v>73</v>
      </c>
      <c r="D162" s="8">
        <v>1</v>
      </c>
      <c r="E162" s="8">
        <v>33.6</v>
      </c>
      <c r="F162" s="8">
        <v>71</v>
      </c>
      <c r="G162" s="8">
        <v>5.6</v>
      </c>
      <c r="H162" s="8">
        <v>2</v>
      </c>
      <c r="I162" s="8">
        <v>8</v>
      </c>
      <c r="J162" s="8">
        <v>54837120</v>
      </c>
      <c r="K162" s="8">
        <v>1</v>
      </c>
      <c r="L162" s="8">
        <v>1</v>
      </c>
      <c r="M162" s="8">
        <v>1</v>
      </c>
      <c r="N162" s="8">
        <v>8</v>
      </c>
      <c r="O162" s="8">
        <v>9</v>
      </c>
      <c r="P162" s="8"/>
      <c r="R162">
        <f t="shared" si="42"/>
        <v>1</v>
      </c>
      <c r="S162">
        <f t="shared" si="43"/>
        <v>0</v>
      </c>
      <c r="T162">
        <f t="shared" si="44"/>
        <v>0</v>
      </c>
      <c r="U162">
        <f t="shared" si="45"/>
        <v>33.6</v>
      </c>
      <c r="V162" t="str">
        <f t="shared" si="46"/>
        <v/>
      </c>
      <c r="W162" t="str">
        <f t="shared" si="47"/>
        <v/>
      </c>
      <c r="X162">
        <f t="shared" si="41"/>
        <v>1</v>
      </c>
    </row>
    <row r="163" spans="1:24" x14ac:dyDescent="0.25">
      <c r="A163" s="8">
        <v>25</v>
      </c>
      <c r="B163" s="8">
        <v>9</v>
      </c>
      <c r="C163" s="8">
        <v>79</v>
      </c>
      <c r="D163" s="8">
        <v>1</v>
      </c>
      <c r="E163" s="8">
        <v>11.3</v>
      </c>
      <c r="F163" s="8">
        <v>354</v>
      </c>
      <c r="G163" s="8">
        <v>9.1999999999999993</v>
      </c>
      <c r="H163" s="8">
        <v>2</v>
      </c>
      <c r="I163" s="8">
        <v>12</v>
      </c>
      <c r="J163" s="8">
        <v>54837120</v>
      </c>
      <c r="K163" s="8">
        <v>1</v>
      </c>
      <c r="L163" s="8">
        <v>1</v>
      </c>
      <c r="M163" s="8">
        <v>1</v>
      </c>
      <c r="N163" s="8">
        <v>8</v>
      </c>
      <c r="O163" s="8">
        <v>9</v>
      </c>
      <c r="P163" s="8"/>
      <c r="R163">
        <f t="shared" si="42"/>
        <v>1</v>
      </c>
      <c r="S163">
        <f t="shared" si="43"/>
        <v>0</v>
      </c>
      <c r="T163">
        <f t="shared" si="44"/>
        <v>0</v>
      </c>
      <c r="U163">
        <f t="shared" si="45"/>
        <v>11.3</v>
      </c>
      <c r="V163" t="str">
        <f t="shared" si="46"/>
        <v/>
      </c>
      <c r="W163" t="str">
        <f t="shared" si="47"/>
        <v/>
      </c>
      <c r="X163">
        <f t="shared" si="41"/>
        <v>1</v>
      </c>
    </row>
    <row r="164" spans="1:24" x14ac:dyDescent="0.25">
      <c r="A164" s="8">
        <v>25</v>
      </c>
      <c r="B164" s="8">
        <v>10</v>
      </c>
      <c r="C164" s="8">
        <v>100</v>
      </c>
      <c r="D164" s="8">
        <v>1</v>
      </c>
      <c r="E164" s="8">
        <v>23.5</v>
      </c>
      <c r="F164" s="8">
        <v>32</v>
      </c>
      <c r="G164" s="8">
        <v>5.9</v>
      </c>
      <c r="H164" s="8">
        <v>3</v>
      </c>
      <c r="I164" s="8">
        <v>8</v>
      </c>
      <c r="J164" s="8">
        <v>54837120</v>
      </c>
      <c r="K164" s="8">
        <v>81076</v>
      </c>
      <c r="L164" s="8">
        <v>2261</v>
      </c>
      <c r="M164" s="8">
        <v>1</v>
      </c>
      <c r="N164" s="8">
        <v>5</v>
      </c>
      <c r="O164" s="8">
        <v>10</v>
      </c>
      <c r="P164" s="8"/>
      <c r="R164">
        <f t="shared" si="42"/>
        <v>1</v>
      </c>
      <c r="S164">
        <f t="shared" si="43"/>
        <v>0</v>
      </c>
      <c r="T164">
        <f t="shared" si="44"/>
        <v>0</v>
      </c>
      <c r="U164">
        <f t="shared" si="45"/>
        <v>23.5</v>
      </c>
      <c r="V164" t="str">
        <f t="shared" si="46"/>
        <v/>
      </c>
      <c r="W164" t="str">
        <f t="shared" si="47"/>
        <v/>
      </c>
      <c r="X164">
        <f t="shared" si="41"/>
        <v>1</v>
      </c>
    </row>
    <row r="165" spans="1:24" x14ac:dyDescent="0.25">
      <c r="A165" s="8">
        <v>25</v>
      </c>
      <c r="B165" s="8">
        <v>11</v>
      </c>
      <c r="C165" s="8">
        <v>100</v>
      </c>
      <c r="D165" s="8">
        <v>1</v>
      </c>
      <c r="E165" s="8">
        <v>36.799999999999997</v>
      </c>
      <c r="F165" s="8">
        <v>165</v>
      </c>
      <c r="G165" s="8">
        <v>7.5</v>
      </c>
      <c r="H165" s="8">
        <v>3</v>
      </c>
      <c r="I165" s="8">
        <v>10</v>
      </c>
      <c r="J165" s="8">
        <v>54837120</v>
      </c>
      <c r="K165" s="8">
        <v>136</v>
      </c>
      <c r="L165" s="8">
        <v>7</v>
      </c>
      <c r="M165" s="8">
        <v>2</v>
      </c>
      <c r="N165" s="8">
        <v>7</v>
      </c>
      <c r="O165" s="8">
        <v>10</v>
      </c>
      <c r="P165" s="8"/>
      <c r="R165">
        <f t="shared" si="42"/>
        <v>1</v>
      </c>
      <c r="S165">
        <f t="shared" si="43"/>
        <v>0</v>
      </c>
      <c r="T165">
        <f t="shared" si="44"/>
        <v>0</v>
      </c>
      <c r="U165">
        <f t="shared" si="45"/>
        <v>36.799999999999997</v>
      </c>
      <c r="V165" t="str">
        <f t="shared" si="46"/>
        <v/>
      </c>
      <c r="W165" t="str">
        <f t="shared" si="47"/>
        <v/>
      </c>
      <c r="X165">
        <f t="shared" si="41"/>
        <v>1</v>
      </c>
    </row>
    <row r="166" spans="1:24" x14ac:dyDescent="0.25">
      <c r="A166" s="8">
        <v>25</v>
      </c>
      <c r="B166" s="8">
        <v>12</v>
      </c>
      <c r="C166" s="8">
        <v>78</v>
      </c>
      <c r="D166" s="8">
        <v>1</v>
      </c>
      <c r="E166" s="8">
        <v>35.700000000000003</v>
      </c>
      <c r="F166" s="8">
        <v>297</v>
      </c>
      <c r="G166" s="8">
        <v>8.8000000000000007</v>
      </c>
      <c r="H166" s="8">
        <v>3</v>
      </c>
      <c r="I166" s="8">
        <v>13</v>
      </c>
      <c r="J166" s="8">
        <v>54837120</v>
      </c>
      <c r="K166" s="8">
        <v>8</v>
      </c>
      <c r="L166" s="8">
        <v>2</v>
      </c>
      <c r="M166" s="8">
        <v>1</v>
      </c>
      <c r="N166" s="8">
        <v>8</v>
      </c>
      <c r="O166" s="8">
        <v>9</v>
      </c>
      <c r="P166" s="8"/>
      <c r="R166">
        <f t="shared" si="42"/>
        <v>1</v>
      </c>
      <c r="S166">
        <f t="shared" si="43"/>
        <v>0</v>
      </c>
      <c r="T166">
        <f t="shared" si="44"/>
        <v>0</v>
      </c>
      <c r="U166">
        <f t="shared" si="45"/>
        <v>35.700000000000003</v>
      </c>
      <c r="V166" t="str">
        <f t="shared" si="46"/>
        <v/>
      </c>
      <c r="W166" t="str">
        <f t="shared" si="47"/>
        <v/>
      </c>
      <c r="X166">
        <f t="shared" si="41"/>
        <v>1</v>
      </c>
    </row>
    <row r="167" spans="1:24" x14ac:dyDescent="0.25">
      <c r="A167" s="8">
        <v>25</v>
      </c>
      <c r="B167" s="8">
        <v>13</v>
      </c>
      <c r="C167" s="8">
        <v>100</v>
      </c>
      <c r="D167" s="8">
        <v>1</v>
      </c>
      <c r="E167" s="8">
        <v>36.799999999999997</v>
      </c>
      <c r="F167" s="8">
        <v>51</v>
      </c>
      <c r="G167" s="8">
        <v>7.2</v>
      </c>
      <c r="H167" s="8">
        <v>3</v>
      </c>
      <c r="I167" s="8">
        <v>9</v>
      </c>
      <c r="J167" s="8">
        <v>54837120</v>
      </c>
      <c r="K167" s="8">
        <v>3112</v>
      </c>
      <c r="L167" s="8">
        <v>1</v>
      </c>
      <c r="M167" s="8">
        <v>1</v>
      </c>
      <c r="N167" s="8">
        <v>6</v>
      </c>
      <c r="O167" s="8">
        <v>10</v>
      </c>
      <c r="P167" s="8"/>
      <c r="R167">
        <f t="shared" si="42"/>
        <v>1</v>
      </c>
      <c r="S167">
        <f t="shared" si="43"/>
        <v>0</v>
      </c>
      <c r="T167">
        <f t="shared" si="44"/>
        <v>0</v>
      </c>
      <c r="U167">
        <f t="shared" si="45"/>
        <v>36.799999999999997</v>
      </c>
      <c r="V167" t="str">
        <f t="shared" si="46"/>
        <v/>
      </c>
      <c r="W167" t="str">
        <f t="shared" si="47"/>
        <v/>
      </c>
      <c r="X167">
        <f t="shared" si="41"/>
        <v>1</v>
      </c>
    </row>
    <row r="168" spans="1:24" x14ac:dyDescent="0.25">
      <c r="A168" s="8">
        <v>25</v>
      </c>
      <c r="B168" s="8">
        <v>14</v>
      </c>
      <c r="C168" s="8">
        <v>92</v>
      </c>
      <c r="D168" s="8">
        <v>1</v>
      </c>
      <c r="E168" s="8">
        <v>23.6</v>
      </c>
      <c r="F168" s="8">
        <v>286</v>
      </c>
      <c r="G168" s="8">
        <v>8.5</v>
      </c>
      <c r="H168" s="8">
        <v>3</v>
      </c>
      <c r="I168" s="8">
        <v>13</v>
      </c>
      <c r="J168" s="8">
        <v>54837120</v>
      </c>
      <c r="K168" s="8">
        <v>11</v>
      </c>
      <c r="L168" s="8">
        <v>1</v>
      </c>
      <c r="M168" s="8">
        <v>1</v>
      </c>
      <c r="N168" s="8">
        <v>8</v>
      </c>
      <c r="O168" s="8">
        <v>9</v>
      </c>
      <c r="P168" s="8"/>
      <c r="R168">
        <f t="shared" si="42"/>
        <v>1</v>
      </c>
      <c r="S168">
        <f t="shared" si="43"/>
        <v>0</v>
      </c>
      <c r="T168">
        <f t="shared" si="44"/>
        <v>0</v>
      </c>
      <c r="U168">
        <f t="shared" si="45"/>
        <v>23.6</v>
      </c>
      <c r="V168" t="str">
        <f t="shared" si="46"/>
        <v/>
      </c>
      <c r="W168" t="str">
        <f t="shared" si="47"/>
        <v/>
      </c>
      <c r="X168">
        <f t="shared" si="41"/>
        <v>1</v>
      </c>
    </row>
    <row r="169" spans="1:24" x14ac:dyDescent="0.25">
      <c r="A169" s="8">
        <v>25</v>
      </c>
      <c r="B169" s="8">
        <v>15</v>
      </c>
      <c r="C169" s="8">
        <v>100</v>
      </c>
      <c r="D169" s="8">
        <v>1</v>
      </c>
      <c r="E169" s="8">
        <v>41.8</v>
      </c>
      <c r="F169" s="8">
        <v>84</v>
      </c>
      <c r="G169" s="8">
        <v>8.8000000000000007</v>
      </c>
      <c r="H169" s="8">
        <v>2</v>
      </c>
      <c r="I169" s="8">
        <v>12</v>
      </c>
      <c r="J169" s="8">
        <v>54837120</v>
      </c>
      <c r="K169" s="8">
        <v>3447</v>
      </c>
      <c r="L169" s="8">
        <v>2</v>
      </c>
      <c r="M169" s="8">
        <v>1</v>
      </c>
      <c r="N169" s="8">
        <v>8</v>
      </c>
      <c r="O169" s="8">
        <v>10</v>
      </c>
      <c r="P169" s="8"/>
      <c r="R169">
        <f t="shared" si="42"/>
        <v>1</v>
      </c>
      <c r="S169">
        <f t="shared" si="43"/>
        <v>0</v>
      </c>
      <c r="T169">
        <f t="shared" si="44"/>
        <v>0</v>
      </c>
      <c r="U169">
        <f t="shared" si="45"/>
        <v>41.8</v>
      </c>
      <c r="V169" t="str">
        <f t="shared" si="46"/>
        <v/>
      </c>
      <c r="W169" t="str">
        <f t="shared" si="47"/>
        <v/>
      </c>
      <c r="X169">
        <f t="shared" si="41"/>
        <v>1</v>
      </c>
    </row>
    <row r="170" spans="1:24" x14ac:dyDescent="0.25">
      <c r="A170" s="8">
        <v>25</v>
      </c>
      <c r="B170" s="8">
        <v>16</v>
      </c>
      <c r="C170" s="8">
        <v>100</v>
      </c>
      <c r="D170" s="8">
        <v>1</v>
      </c>
      <c r="E170" s="8">
        <v>34.700000000000003</v>
      </c>
      <c r="F170" s="8">
        <v>50</v>
      </c>
      <c r="G170" s="8">
        <v>6.4</v>
      </c>
      <c r="H170" s="8">
        <v>2</v>
      </c>
      <c r="I170" s="8">
        <v>8</v>
      </c>
      <c r="J170" s="8">
        <v>54837120</v>
      </c>
      <c r="K170" s="8">
        <v>131</v>
      </c>
      <c r="L170" s="8">
        <v>1</v>
      </c>
      <c r="M170" s="8">
        <v>1</v>
      </c>
      <c r="N170" s="8">
        <v>10</v>
      </c>
      <c r="O170" s="8">
        <v>10</v>
      </c>
      <c r="P170" s="8"/>
      <c r="R170">
        <f t="shared" si="42"/>
        <v>1</v>
      </c>
      <c r="S170">
        <f t="shared" si="43"/>
        <v>0</v>
      </c>
      <c r="T170">
        <f t="shared" si="44"/>
        <v>0</v>
      </c>
      <c r="U170">
        <f t="shared" si="45"/>
        <v>34.700000000000003</v>
      </c>
      <c r="V170" t="str">
        <f t="shared" si="46"/>
        <v/>
      </c>
      <c r="W170" t="str">
        <f t="shared" si="47"/>
        <v/>
      </c>
      <c r="X170">
        <f t="shared" si="41"/>
        <v>1</v>
      </c>
    </row>
    <row r="171" spans="1:24" x14ac:dyDescent="0.25">
      <c r="A171" s="8">
        <v>25</v>
      </c>
      <c r="B171" s="8">
        <v>17</v>
      </c>
      <c r="C171" s="8">
        <v>96</v>
      </c>
      <c r="D171" s="8">
        <v>2</v>
      </c>
      <c r="E171" s="8">
        <v>71.599999999999994</v>
      </c>
      <c r="F171" s="8">
        <v>11</v>
      </c>
      <c r="G171" s="8">
        <v>2.8</v>
      </c>
      <c r="H171" s="8">
        <v>2</v>
      </c>
      <c r="I171" s="8">
        <v>3</v>
      </c>
      <c r="J171" s="8">
        <v>109674240</v>
      </c>
      <c r="K171" s="8">
        <v>79739</v>
      </c>
      <c r="L171" s="8">
        <v>2660</v>
      </c>
      <c r="M171" s="8">
        <v>1</v>
      </c>
      <c r="N171" s="8">
        <v>5</v>
      </c>
      <c r="O171" s="8">
        <v>9</v>
      </c>
      <c r="P171" s="8"/>
      <c r="R171">
        <f t="shared" si="42"/>
        <v>0</v>
      </c>
      <c r="S171">
        <f t="shared" si="43"/>
        <v>1</v>
      </c>
      <c r="T171">
        <f t="shared" si="44"/>
        <v>0</v>
      </c>
      <c r="U171" t="str">
        <f t="shared" si="45"/>
        <v/>
      </c>
      <c r="V171">
        <f t="shared" si="46"/>
        <v>71.599999999999994</v>
      </c>
      <c r="W171" t="str">
        <f t="shared" si="47"/>
        <v/>
      </c>
      <c r="X171">
        <f t="shared" si="41"/>
        <v>1</v>
      </c>
    </row>
    <row r="172" spans="1:24" x14ac:dyDescent="0.25">
      <c r="A172" s="8">
        <v>25</v>
      </c>
      <c r="B172" s="8">
        <v>18</v>
      </c>
      <c r="C172" s="8">
        <v>100</v>
      </c>
      <c r="D172" s="8">
        <v>1</v>
      </c>
      <c r="E172" s="8">
        <v>32.700000000000003</v>
      </c>
      <c r="F172" s="8">
        <v>57</v>
      </c>
      <c r="G172" s="8">
        <v>6.4</v>
      </c>
      <c r="H172" s="8">
        <v>2</v>
      </c>
      <c r="I172" s="8">
        <v>9</v>
      </c>
      <c r="J172" s="8">
        <v>54837120</v>
      </c>
      <c r="K172" s="8">
        <v>10</v>
      </c>
      <c r="L172" s="8">
        <v>1</v>
      </c>
      <c r="M172" s="8">
        <v>1</v>
      </c>
      <c r="N172" s="8">
        <v>9</v>
      </c>
      <c r="O172" s="8">
        <v>10</v>
      </c>
      <c r="P172" s="8"/>
      <c r="R172">
        <f t="shared" si="42"/>
        <v>1</v>
      </c>
      <c r="S172">
        <f t="shared" si="43"/>
        <v>0</v>
      </c>
      <c r="T172">
        <f t="shared" si="44"/>
        <v>0</v>
      </c>
      <c r="U172">
        <f t="shared" si="45"/>
        <v>32.700000000000003</v>
      </c>
      <c r="V172" t="str">
        <f t="shared" si="46"/>
        <v/>
      </c>
      <c r="W172" t="str">
        <f t="shared" si="47"/>
        <v/>
      </c>
      <c r="X172">
        <f t="shared" si="41"/>
        <v>1</v>
      </c>
    </row>
    <row r="173" spans="1:24" x14ac:dyDescent="0.25">
      <c r="A173" s="8">
        <v>25</v>
      </c>
      <c r="B173" s="8">
        <v>19</v>
      </c>
      <c r="C173" s="8">
        <v>100</v>
      </c>
      <c r="D173" s="8">
        <v>1</v>
      </c>
      <c r="E173" s="8">
        <v>25.5</v>
      </c>
      <c r="F173" s="8">
        <v>233</v>
      </c>
      <c r="G173" s="8">
        <v>7</v>
      </c>
      <c r="H173" s="8">
        <v>3</v>
      </c>
      <c r="I173" s="8">
        <v>9</v>
      </c>
      <c r="J173" s="8">
        <v>54837120</v>
      </c>
      <c r="K173" s="8">
        <v>2</v>
      </c>
      <c r="L173" s="8">
        <v>2</v>
      </c>
      <c r="M173" s="8">
        <v>2</v>
      </c>
      <c r="N173" s="8">
        <v>7</v>
      </c>
      <c r="O173" s="8">
        <v>10</v>
      </c>
      <c r="P173" s="8"/>
      <c r="R173">
        <f t="shared" si="42"/>
        <v>1</v>
      </c>
      <c r="S173">
        <f t="shared" si="43"/>
        <v>0</v>
      </c>
      <c r="T173">
        <f t="shared" si="44"/>
        <v>0</v>
      </c>
      <c r="U173">
        <f t="shared" si="45"/>
        <v>25.5</v>
      </c>
      <c r="V173" t="str">
        <f t="shared" si="46"/>
        <v/>
      </c>
      <c r="W173" t="str">
        <f t="shared" si="47"/>
        <v/>
      </c>
      <c r="X173">
        <f t="shared" si="41"/>
        <v>1</v>
      </c>
    </row>
    <row r="174" spans="1:24" x14ac:dyDescent="0.25">
      <c r="A174" s="8">
        <v>25</v>
      </c>
      <c r="B174" s="8">
        <v>20</v>
      </c>
      <c r="C174" s="8">
        <v>97</v>
      </c>
      <c r="D174" s="8">
        <v>1</v>
      </c>
      <c r="E174" s="8">
        <v>32.700000000000003</v>
      </c>
      <c r="F174" s="8">
        <v>123</v>
      </c>
      <c r="G174" s="8">
        <v>7.2</v>
      </c>
      <c r="H174" s="8">
        <v>2</v>
      </c>
      <c r="I174" s="8">
        <v>10</v>
      </c>
      <c r="J174" s="8">
        <v>54837120</v>
      </c>
      <c r="K174" s="8">
        <v>105</v>
      </c>
      <c r="L174" s="8">
        <v>5</v>
      </c>
      <c r="M174" s="8">
        <v>1</v>
      </c>
      <c r="N174" s="8">
        <v>7</v>
      </c>
      <c r="O174" s="8">
        <v>10</v>
      </c>
      <c r="P174" s="8"/>
      <c r="R174">
        <f t="shared" si="42"/>
        <v>1</v>
      </c>
      <c r="S174">
        <f t="shared" si="43"/>
        <v>0</v>
      </c>
      <c r="T174">
        <f t="shared" si="44"/>
        <v>0</v>
      </c>
      <c r="U174">
        <f t="shared" si="45"/>
        <v>32.700000000000003</v>
      </c>
      <c r="V174" t="str">
        <f t="shared" si="46"/>
        <v/>
      </c>
      <c r="W174" t="str">
        <f t="shared" si="47"/>
        <v/>
      </c>
      <c r="X174">
        <f t="shared" si="41"/>
        <v>1</v>
      </c>
    </row>
    <row r="175" spans="1:24" x14ac:dyDescent="0.25">
      <c r="A175" s="8">
        <v>25</v>
      </c>
      <c r="B175" s="8">
        <v>21</v>
      </c>
      <c r="C175" s="8">
        <v>100</v>
      </c>
      <c r="D175" s="8">
        <v>1</v>
      </c>
      <c r="E175" s="8">
        <v>36.6</v>
      </c>
      <c r="F175" s="8">
        <v>8</v>
      </c>
      <c r="G175" s="8">
        <v>2.8</v>
      </c>
      <c r="H175" s="8">
        <v>2</v>
      </c>
      <c r="I175" s="8">
        <v>3</v>
      </c>
      <c r="J175" s="8">
        <v>54837120</v>
      </c>
      <c r="K175" s="8">
        <v>2007726</v>
      </c>
      <c r="L175" s="8">
        <v>714470</v>
      </c>
      <c r="M175" s="8">
        <v>1</v>
      </c>
      <c r="N175" s="8">
        <v>3</v>
      </c>
      <c r="O175" s="8">
        <v>10</v>
      </c>
      <c r="P175" s="8"/>
      <c r="R175">
        <f t="shared" si="42"/>
        <v>1</v>
      </c>
      <c r="S175">
        <f t="shared" si="43"/>
        <v>0</v>
      </c>
      <c r="T175">
        <f t="shared" si="44"/>
        <v>0</v>
      </c>
      <c r="U175">
        <f t="shared" si="45"/>
        <v>36.6</v>
      </c>
      <c r="V175" t="str">
        <f t="shared" si="46"/>
        <v/>
      </c>
      <c r="W175" t="str">
        <f t="shared" si="47"/>
        <v/>
      </c>
      <c r="X175">
        <f t="shared" si="41"/>
        <v>1</v>
      </c>
    </row>
    <row r="176" spans="1:24" x14ac:dyDescent="0.25">
      <c r="A176" s="8">
        <v>25</v>
      </c>
      <c r="B176" s="8">
        <v>22</v>
      </c>
      <c r="C176" s="8">
        <v>100</v>
      </c>
      <c r="D176" s="8">
        <v>3</v>
      </c>
      <c r="E176" s="8">
        <v>1165.2</v>
      </c>
      <c r="F176" s="8">
        <v>37</v>
      </c>
      <c r="G176" s="8">
        <v>5.4</v>
      </c>
      <c r="H176" s="8">
        <v>2</v>
      </c>
      <c r="I176" s="8">
        <v>9</v>
      </c>
      <c r="J176" s="8">
        <v>1535439360</v>
      </c>
      <c r="K176" s="8">
        <v>129</v>
      </c>
      <c r="L176" s="8">
        <v>1</v>
      </c>
      <c r="M176" s="8">
        <v>1</v>
      </c>
      <c r="N176" s="8">
        <v>7</v>
      </c>
      <c r="O176" s="8">
        <v>10</v>
      </c>
      <c r="P176" s="8"/>
      <c r="R176">
        <f t="shared" si="42"/>
        <v>0</v>
      </c>
      <c r="S176">
        <f t="shared" si="43"/>
        <v>0</v>
      </c>
      <c r="T176">
        <f t="shared" si="44"/>
        <v>1</v>
      </c>
      <c r="U176" t="str">
        <f t="shared" si="45"/>
        <v/>
      </c>
      <c r="V176" t="str">
        <f t="shared" si="46"/>
        <v/>
      </c>
      <c r="W176">
        <f t="shared" si="47"/>
        <v>1165.2</v>
      </c>
      <c r="X176">
        <f t="shared" si="41"/>
        <v>1</v>
      </c>
    </row>
    <row r="177" spans="1:24" x14ac:dyDescent="0.25">
      <c r="A177" s="8">
        <v>25</v>
      </c>
      <c r="B177" s="8">
        <v>23</v>
      </c>
      <c r="C177" s="8">
        <v>85</v>
      </c>
      <c r="D177" s="8">
        <v>1</v>
      </c>
      <c r="E177" s="8">
        <v>10.199999999999999</v>
      </c>
      <c r="F177" s="8">
        <v>134</v>
      </c>
      <c r="G177" s="8">
        <v>7.2</v>
      </c>
      <c r="H177" s="8">
        <v>2</v>
      </c>
      <c r="I177" s="8">
        <v>10</v>
      </c>
      <c r="J177" s="8">
        <v>54837120</v>
      </c>
      <c r="K177" s="8">
        <v>9</v>
      </c>
      <c r="L177" s="8">
        <v>2</v>
      </c>
      <c r="M177" s="8">
        <v>1</v>
      </c>
      <c r="N177" s="8">
        <v>6</v>
      </c>
      <c r="O177" s="8">
        <v>9</v>
      </c>
      <c r="P177" s="8"/>
      <c r="R177">
        <f t="shared" si="42"/>
        <v>1</v>
      </c>
      <c r="S177">
        <f t="shared" si="43"/>
        <v>0</v>
      </c>
      <c r="T177">
        <f t="shared" si="44"/>
        <v>0</v>
      </c>
      <c r="U177">
        <f t="shared" si="45"/>
        <v>10.199999999999999</v>
      </c>
      <c r="V177" t="str">
        <f t="shared" si="46"/>
        <v/>
      </c>
      <c r="W177" t="str">
        <f t="shared" si="47"/>
        <v/>
      </c>
      <c r="X177">
        <f t="shared" si="41"/>
        <v>1</v>
      </c>
    </row>
    <row r="178" spans="1:24" x14ac:dyDescent="0.25">
      <c r="A178" s="8">
        <v>25</v>
      </c>
      <c r="B178" s="8">
        <v>24</v>
      </c>
      <c r="C178" s="8">
        <v>64</v>
      </c>
      <c r="D178" s="8">
        <v>1</v>
      </c>
      <c r="E178" s="8">
        <v>26.6</v>
      </c>
      <c r="F178" s="8">
        <v>170</v>
      </c>
      <c r="G178" s="8">
        <v>10.199999999999999</v>
      </c>
      <c r="H178" s="8">
        <v>2</v>
      </c>
      <c r="I178" s="8">
        <v>13</v>
      </c>
      <c r="J178" s="8">
        <v>54837120</v>
      </c>
      <c r="K178" s="8">
        <v>141</v>
      </c>
      <c r="L178" s="8">
        <v>1</v>
      </c>
      <c r="M178" s="8">
        <v>1</v>
      </c>
      <c r="N178" s="8">
        <v>7</v>
      </c>
      <c r="O178" s="8">
        <v>9</v>
      </c>
      <c r="P178" s="8"/>
      <c r="R178">
        <f t="shared" si="42"/>
        <v>1</v>
      </c>
      <c r="S178">
        <f t="shared" si="43"/>
        <v>0</v>
      </c>
      <c r="T178">
        <f t="shared" si="44"/>
        <v>0</v>
      </c>
      <c r="U178">
        <f t="shared" si="45"/>
        <v>26.6</v>
      </c>
      <c r="V178" t="str">
        <f t="shared" si="46"/>
        <v/>
      </c>
      <c r="W178" t="str">
        <f t="shared" si="47"/>
        <v/>
      </c>
      <c r="X178">
        <f t="shared" si="41"/>
        <v>1</v>
      </c>
    </row>
    <row r="179" spans="1:24" x14ac:dyDescent="0.25">
      <c r="A179" s="8">
        <v>25</v>
      </c>
      <c r="B179" s="8">
        <v>25</v>
      </c>
      <c r="C179" s="8">
        <v>91</v>
      </c>
      <c r="D179" s="8">
        <v>1</v>
      </c>
      <c r="E179" s="8">
        <v>40</v>
      </c>
      <c r="F179" s="8">
        <v>12</v>
      </c>
      <c r="G179" s="8">
        <v>4.2</v>
      </c>
      <c r="H179" s="8">
        <v>3</v>
      </c>
      <c r="I179" s="8">
        <v>5</v>
      </c>
      <c r="J179" s="8">
        <v>54837120</v>
      </c>
      <c r="K179" s="8">
        <v>1291626</v>
      </c>
      <c r="L179" s="8">
        <v>102940</v>
      </c>
      <c r="M179" s="8">
        <v>1</v>
      </c>
      <c r="N179" s="8">
        <v>4</v>
      </c>
      <c r="O179" s="8">
        <v>10</v>
      </c>
      <c r="P179" s="8"/>
      <c r="R179">
        <f t="shared" si="42"/>
        <v>1</v>
      </c>
      <c r="S179">
        <f t="shared" si="43"/>
        <v>0</v>
      </c>
      <c r="T179">
        <f t="shared" si="44"/>
        <v>0</v>
      </c>
      <c r="U179">
        <f t="shared" si="45"/>
        <v>40</v>
      </c>
      <c r="V179" t="str">
        <f t="shared" si="46"/>
        <v/>
      </c>
      <c r="W179" t="str">
        <f t="shared" si="47"/>
        <v/>
      </c>
      <c r="X179">
        <f t="shared" si="41"/>
        <v>1</v>
      </c>
    </row>
    <row r="180" spans="1:24" x14ac:dyDescent="0.25">
      <c r="A180" s="8">
        <v>25</v>
      </c>
      <c r="B180" s="8">
        <v>26</v>
      </c>
      <c r="C180" s="8">
        <v>100</v>
      </c>
      <c r="D180" s="8">
        <v>1</v>
      </c>
      <c r="E180" s="8">
        <v>27.5</v>
      </c>
      <c r="F180" s="8">
        <v>82</v>
      </c>
      <c r="G180" s="8">
        <v>7.7</v>
      </c>
      <c r="H180" s="8">
        <v>2</v>
      </c>
      <c r="I180" s="8">
        <v>10</v>
      </c>
      <c r="J180" s="8">
        <v>54837120</v>
      </c>
      <c r="K180" s="8">
        <v>3272</v>
      </c>
      <c r="L180" s="8">
        <v>14</v>
      </c>
      <c r="M180" s="8">
        <v>2</v>
      </c>
      <c r="N180" s="8">
        <v>7</v>
      </c>
      <c r="O180" s="8">
        <v>10</v>
      </c>
      <c r="P180" s="8"/>
      <c r="R180">
        <f t="shared" si="42"/>
        <v>1</v>
      </c>
      <c r="S180">
        <f t="shared" si="43"/>
        <v>0</v>
      </c>
      <c r="T180">
        <f t="shared" si="44"/>
        <v>0</v>
      </c>
      <c r="U180">
        <f t="shared" si="45"/>
        <v>27.5</v>
      </c>
      <c r="V180" t="str">
        <f t="shared" si="46"/>
        <v/>
      </c>
      <c r="W180" t="str">
        <f t="shared" si="47"/>
        <v/>
      </c>
      <c r="X180">
        <f t="shared" si="41"/>
        <v>1</v>
      </c>
    </row>
    <row r="181" spans="1:24" x14ac:dyDescent="0.25">
      <c r="A181" s="8">
        <v>25</v>
      </c>
      <c r="B181" s="8">
        <v>27</v>
      </c>
      <c r="C181" s="8">
        <v>100</v>
      </c>
      <c r="D181" s="8">
        <v>1</v>
      </c>
      <c r="E181" s="8">
        <v>22.5</v>
      </c>
      <c r="F181" s="8">
        <v>167</v>
      </c>
      <c r="G181" s="8">
        <v>9.1</v>
      </c>
      <c r="H181" s="8">
        <v>2</v>
      </c>
      <c r="I181" s="8">
        <v>11</v>
      </c>
      <c r="J181" s="8">
        <v>54837120</v>
      </c>
      <c r="K181" s="8">
        <v>113</v>
      </c>
      <c r="L181" s="8">
        <v>2</v>
      </c>
      <c r="M181" s="8">
        <v>1</v>
      </c>
      <c r="N181" s="8">
        <v>8</v>
      </c>
      <c r="O181" s="8">
        <v>10</v>
      </c>
      <c r="P181" s="8"/>
      <c r="R181">
        <f t="shared" si="42"/>
        <v>1</v>
      </c>
      <c r="S181">
        <f t="shared" si="43"/>
        <v>0</v>
      </c>
      <c r="T181">
        <f t="shared" si="44"/>
        <v>0</v>
      </c>
      <c r="U181">
        <f t="shared" si="45"/>
        <v>22.5</v>
      </c>
      <c r="V181" t="str">
        <f t="shared" si="46"/>
        <v/>
      </c>
      <c r="W181" t="str">
        <f t="shared" si="47"/>
        <v/>
      </c>
      <c r="X181">
        <f t="shared" si="41"/>
        <v>1</v>
      </c>
    </row>
    <row r="182" spans="1:24" x14ac:dyDescent="0.25">
      <c r="A182" s="8">
        <v>25</v>
      </c>
      <c r="B182" s="8">
        <v>28</v>
      </c>
      <c r="C182" s="8">
        <v>100</v>
      </c>
      <c r="D182" s="8">
        <v>3</v>
      </c>
      <c r="E182" s="8">
        <v>940.3</v>
      </c>
      <c r="F182" s="8">
        <v>112</v>
      </c>
      <c r="G182" s="8">
        <v>7.2</v>
      </c>
      <c r="H182" s="8">
        <v>2</v>
      </c>
      <c r="I182" s="8">
        <v>9</v>
      </c>
      <c r="J182" s="8">
        <v>1535439360</v>
      </c>
      <c r="K182" s="8">
        <v>113</v>
      </c>
      <c r="L182" s="8">
        <v>1</v>
      </c>
      <c r="M182" s="8">
        <v>1</v>
      </c>
      <c r="N182" s="8">
        <v>7</v>
      </c>
      <c r="O182" s="8">
        <v>10</v>
      </c>
      <c r="P182" s="8"/>
      <c r="R182">
        <f t="shared" si="42"/>
        <v>0</v>
      </c>
      <c r="S182">
        <f t="shared" si="43"/>
        <v>0</v>
      </c>
      <c r="T182">
        <f t="shared" si="44"/>
        <v>1</v>
      </c>
      <c r="U182" t="str">
        <f t="shared" si="45"/>
        <v/>
      </c>
      <c r="V182" t="str">
        <f t="shared" si="46"/>
        <v/>
      </c>
      <c r="W182">
        <f t="shared" si="47"/>
        <v>940.3</v>
      </c>
      <c r="X182">
        <f t="shared" si="41"/>
        <v>1</v>
      </c>
    </row>
    <row r="183" spans="1:24" x14ac:dyDescent="0.25">
      <c r="A183" s="8">
        <v>25</v>
      </c>
      <c r="B183" s="8">
        <v>29</v>
      </c>
      <c r="C183" s="8">
        <v>93</v>
      </c>
      <c r="D183" s="8">
        <v>1</v>
      </c>
      <c r="E183" s="8">
        <v>27.7</v>
      </c>
      <c r="F183" s="8">
        <v>30</v>
      </c>
      <c r="G183" s="8">
        <v>4.7</v>
      </c>
      <c r="H183" s="8">
        <v>2</v>
      </c>
      <c r="I183" s="8">
        <v>6</v>
      </c>
      <c r="J183" s="8">
        <v>54837120</v>
      </c>
      <c r="K183" s="8">
        <v>131</v>
      </c>
      <c r="L183" s="8">
        <v>1</v>
      </c>
      <c r="M183" s="8">
        <v>1</v>
      </c>
      <c r="N183" s="8">
        <v>7</v>
      </c>
      <c r="O183" s="8">
        <v>9</v>
      </c>
      <c r="P183" s="8"/>
      <c r="R183">
        <f t="shared" si="42"/>
        <v>1</v>
      </c>
      <c r="S183">
        <f t="shared" si="43"/>
        <v>0</v>
      </c>
      <c r="T183">
        <f t="shared" si="44"/>
        <v>0</v>
      </c>
      <c r="U183">
        <f t="shared" si="45"/>
        <v>27.7</v>
      </c>
      <c r="V183" t="str">
        <f t="shared" si="46"/>
        <v/>
      </c>
      <c r="W183" t="str">
        <f t="shared" si="47"/>
        <v/>
      </c>
      <c r="X183">
        <f t="shared" si="41"/>
        <v>1</v>
      </c>
    </row>
    <row r="184" spans="1:24" x14ac:dyDescent="0.25">
      <c r="A184" s="8">
        <v>26</v>
      </c>
      <c r="B184" s="8">
        <v>0</v>
      </c>
      <c r="C184" s="8">
        <v>100</v>
      </c>
      <c r="D184" s="8">
        <v>2</v>
      </c>
      <c r="E184" s="8">
        <v>63.3</v>
      </c>
      <c r="F184" s="8">
        <v>106</v>
      </c>
      <c r="G184" s="8">
        <v>6.4</v>
      </c>
      <c r="H184" s="8">
        <v>2</v>
      </c>
      <c r="I184" s="8">
        <v>9</v>
      </c>
      <c r="J184" s="8">
        <v>109674240</v>
      </c>
      <c r="K184" s="8">
        <v>124</v>
      </c>
      <c r="L184" s="8">
        <v>5</v>
      </c>
      <c r="M184" s="8">
        <v>1</v>
      </c>
      <c r="N184" s="8">
        <v>6</v>
      </c>
      <c r="O184" s="8">
        <v>10</v>
      </c>
      <c r="P184" s="8"/>
      <c r="R184">
        <f t="shared" si="42"/>
        <v>0</v>
      </c>
      <c r="S184">
        <f t="shared" si="43"/>
        <v>1</v>
      </c>
      <c r="T184">
        <f t="shared" si="44"/>
        <v>0</v>
      </c>
      <c r="U184" t="str">
        <f t="shared" si="45"/>
        <v/>
      </c>
      <c r="V184">
        <f t="shared" si="46"/>
        <v>63.3</v>
      </c>
      <c r="W184" t="str">
        <f t="shared" si="47"/>
        <v/>
      </c>
      <c r="X184">
        <f t="shared" si="41"/>
        <v>1</v>
      </c>
    </row>
    <row r="185" spans="1:24" x14ac:dyDescent="0.25">
      <c r="A185" s="8">
        <v>26</v>
      </c>
      <c r="B185" s="8">
        <v>1</v>
      </c>
      <c r="C185" s="8">
        <v>99</v>
      </c>
      <c r="D185" s="8">
        <v>1</v>
      </c>
      <c r="E185" s="8">
        <v>36.799999999999997</v>
      </c>
      <c r="F185" s="8">
        <v>33</v>
      </c>
      <c r="G185" s="8">
        <v>6.2</v>
      </c>
      <c r="H185" s="8">
        <v>2</v>
      </c>
      <c r="I185" s="8">
        <v>8</v>
      </c>
      <c r="J185" s="8">
        <v>54837120</v>
      </c>
      <c r="K185" s="8">
        <v>3295</v>
      </c>
      <c r="L185" s="8">
        <v>53</v>
      </c>
      <c r="M185" s="8">
        <v>1</v>
      </c>
      <c r="N185" s="8">
        <v>6</v>
      </c>
      <c r="O185" s="8">
        <v>10</v>
      </c>
      <c r="P185" s="8"/>
      <c r="R185">
        <f t="shared" si="42"/>
        <v>1</v>
      </c>
      <c r="S185">
        <f t="shared" si="43"/>
        <v>0</v>
      </c>
      <c r="T185">
        <f t="shared" si="44"/>
        <v>0</v>
      </c>
      <c r="U185">
        <f t="shared" si="45"/>
        <v>36.799999999999997</v>
      </c>
      <c r="V185" t="str">
        <f t="shared" si="46"/>
        <v/>
      </c>
      <c r="W185" t="str">
        <f t="shared" si="47"/>
        <v/>
      </c>
      <c r="X185">
        <f t="shared" si="41"/>
        <v>1</v>
      </c>
    </row>
    <row r="186" spans="1:24" x14ac:dyDescent="0.25">
      <c r="A186" s="8">
        <v>26</v>
      </c>
      <c r="B186" s="8">
        <v>2</v>
      </c>
      <c r="C186" s="8">
        <v>95</v>
      </c>
      <c r="D186" s="8">
        <v>1</v>
      </c>
      <c r="E186" s="8">
        <v>32.700000000000003</v>
      </c>
      <c r="F186" s="8">
        <v>58</v>
      </c>
      <c r="G186" s="8">
        <v>5.5</v>
      </c>
      <c r="H186" s="8">
        <v>2</v>
      </c>
      <c r="I186" s="8">
        <v>8</v>
      </c>
      <c r="J186" s="8">
        <v>54837120</v>
      </c>
      <c r="K186" s="8">
        <v>2</v>
      </c>
      <c r="L186" s="8">
        <v>2</v>
      </c>
      <c r="M186" s="8">
        <v>1</v>
      </c>
      <c r="N186" s="8">
        <v>7</v>
      </c>
      <c r="O186" s="8">
        <v>9</v>
      </c>
      <c r="P186" s="8"/>
      <c r="R186">
        <f t="shared" si="42"/>
        <v>1</v>
      </c>
      <c r="S186">
        <f t="shared" si="43"/>
        <v>0</v>
      </c>
      <c r="T186">
        <f t="shared" si="44"/>
        <v>0</v>
      </c>
      <c r="U186">
        <f t="shared" si="45"/>
        <v>32.700000000000003</v>
      </c>
      <c r="V186" t="str">
        <f t="shared" si="46"/>
        <v/>
      </c>
      <c r="W186" t="str">
        <f t="shared" si="47"/>
        <v/>
      </c>
      <c r="X186">
        <f t="shared" si="41"/>
        <v>1</v>
      </c>
    </row>
    <row r="187" spans="1:24" x14ac:dyDescent="0.25">
      <c r="A187" s="8">
        <v>26</v>
      </c>
      <c r="B187" s="8">
        <v>3</v>
      </c>
      <c r="C187" s="8">
        <v>100</v>
      </c>
      <c r="D187" s="8">
        <v>1</v>
      </c>
      <c r="E187" s="8">
        <v>35.799999999999997</v>
      </c>
      <c r="F187" s="8">
        <v>123</v>
      </c>
      <c r="G187" s="8">
        <v>6.5</v>
      </c>
      <c r="H187" s="8">
        <v>2</v>
      </c>
      <c r="I187" s="8">
        <v>9</v>
      </c>
      <c r="J187" s="8">
        <v>54837120</v>
      </c>
      <c r="K187" s="8">
        <v>8</v>
      </c>
      <c r="L187" s="8">
        <v>2</v>
      </c>
      <c r="M187" s="8">
        <v>1</v>
      </c>
      <c r="N187" s="8">
        <v>7</v>
      </c>
      <c r="O187" s="8">
        <v>10</v>
      </c>
      <c r="P187" s="8"/>
      <c r="R187">
        <f t="shared" si="42"/>
        <v>1</v>
      </c>
      <c r="S187">
        <f t="shared" si="43"/>
        <v>0</v>
      </c>
      <c r="T187">
        <f t="shared" si="44"/>
        <v>0</v>
      </c>
      <c r="U187">
        <f t="shared" si="45"/>
        <v>35.799999999999997</v>
      </c>
      <c r="V187" t="str">
        <f t="shared" si="46"/>
        <v/>
      </c>
      <c r="W187" t="str">
        <f t="shared" si="47"/>
        <v/>
      </c>
      <c r="X187">
        <f t="shared" si="41"/>
        <v>1</v>
      </c>
    </row>
    <row r="188" spans="1:24" x14ac:dyDescent="0.25">
      <c r="A188" s="8">
        <v>26</v>
      </c>
      <c r="B188" s="8">
        <v>4</v>
      </c>
      <c r="C188" s="8">
        <v>94</v>
      </c>
      <c r="D188" s="8">
        <v>1</v>
      </c>
      <c r="E188" s="8">
        <v>31.7</v>
      </c>
      <c r="F188" s="8">
        <v>397</v>
      </c>
      <c r="G188" s="8">
        <v>8.1999999999999993</v>
      </c>
      <c r="H188" s="8">
        <v>2</v>
      </c>
      <c r="I188" s="8">
        <v>11</v>
      </c>
      <c r="J188" s="8">
        <v>54837120</v>
      </c>
      <c r="K188" s="8">
        <v>2</v>
      </c>
      <c r="L188" s="8">
        <v>2</v>
      </c>
      <c r="M188" s="8">
        <v>1</v>
      </c>
      <c r="N188" s="8">
        <v>8</v>
      </c>
      <c r="O188" s="8">
        <v>10</v>
      </c>
      <c r="P188" s="8"/>
      <c r="R188">
        <f t="shared" si="42"/>
        <v>1</v>
      </c>
      <c r="S188">
        <f t="shared" si="43"/>
        <v>0</v>
      </c>
      <c r="T188">
        <f t="shared" si="44"/>
        <v>0</v>
      </c>
      <c r="U188">
        <f t="shared" si="45"/>
        <v>31.7</v>
      </c>
      <c r="V188" t="str">
        <f t="shared" si="46"/>
        <v/>
      </c>
      <c r="W188" t="str">
        <f t="shared" si="47"/>
        <v/>
      </c>
      <c r="X188">
        <f t="shared" si="41"/>
        <v>1</v>
      </c>
    </row>
    <row r="189" spans="1:24" x14ac:dyDescent="0.25">
      <c r="A189" s="8">
        <v>26</v>
      </c>
      <c r="B189" s="8">
        <v>5</v>
      </c>
      <c r="C189" s="8">
        <v>100</v>
      </c>
      <c r="D189" s="8">
        <v>1</v>
      </c>
      <c r="E189" s="8">
        <v>31.6</v>
      </c>
      <c r="F189" s="8">
        <v>66</v>
      </c>
      <c r="G189" s="8">
        <v>7.2</v>
      </c>
      <c r="H189" s="8">
        <v>3</v>
      </c>
      <c r="I189" s="8">
        <v>9</v>
      </c>
      <c r="J189" s="8">
        <v>54837120</v>
      </c>
      <c r="K189" s="8">
        <v>3145</v>
      </c>
      <c r="L189" s="8">
        <v>2</v>
      </c>
      <c r="M189" s="8">
        <v>1</v>
      </c>
      <c r="N189" s="8">
        <v>7</v>
      </c>
      <c r="O189" s="8">
        <v>10</v>
      </c>
      <c r="P189" s="8"/>
      <c r="R189">
        <f t="shared" si="42"/>
        <v>1</v>
      </c>
      <c r="S189">
        <f t="shared" si="43"/>
        <v>0</v>
      </c>
      <c r="T189">
        <f t="shared" si="44"/>
        <v>0</v>
      </c>
      <c r="U189">
        <f t="shared" si="45"/>
        <v>31.6</v>
      </c>
      <c r="V189" t="str">
        <f t="shared" si="46"/>
        <v/>
      </c>
      <c r="W189" t="str">
        <f t="shared" si="47"/>
        <v/>
      </c>
      <c r="X189">
        <f t="shared" si="41"/>
        <v>1</v>
      </c>
    </row>
    <row r="190" spans="1:24" x14ac:dyDescent="0.25">
      <c r="A190" s="8">
        <v>26</v>
      </c>
      <c r="B190" s="8">
        <v>6</v>
      </c>
      <c r="C190" s="8">
        <v>50</v>
      </c>
      <c r="D190" s="8">
        <v>1</v>
      </c>
      <c r="E190" s="8">
        <v>18.399999999999999</v>
      </c>
      <c r="F190" s="8">
        <v>82</v>
      </c>
      <c r="G190" s="8">
        <v>5.8</v>
      </c>
      <c r="H190" s="8">
        <v>2</v>
      </c>
      <c r="I190" s="8">
        <v>8</v>
      </c>
      <c r="J190" s="8">
        <v>54837120</v>
      </c>
      <c r="K190" s="8">
        <v>2</v>
      </c>
      <c r="L190" s="8">
        <v>2</v>
      </c>
      <c r="M190" s="8">
        <v>2</v>
      </c>
      <c r="N190" s="8">
        <v>8</v>
      </c>
      <c r="O190" s="8">
        <v>10</v>
      </c>
      <c r="P190" s="8"/>
      <c r="R190">
        <f t="shared" si="42"/>
        <v>1</v>
      </c>
      <c r="S190">
        <f t="shared" si="43"/>
        <v>0</v>
      </c>
      <c r="T190">
        <f t="shared" si="44"/>
        <v>0</v>
      </c>
      <c r="U190">
        <f t="shared" si="45"/>
        <v>18.399999999999999</v>
      </c>
      <c r="V190" t="str">
        <f t="shared" si="46"/>
        <v/>
      </c>
      <c r="W190" t="str">
        <f t="shared" si="47"/>
        <v/>
      </c>
      <c r="X190">
        <f t="shared" si="41"/>
        <v>1</v>
      </c>
    </row>
    <row r="191" spans="1:24" x14ac:dyDescent="0.25">
      <c r="A191" s="8">
        <v>26</v>
      </c>
      <c r="B191" s="8">
        <v>7</v>
      </c>
      <c r="C191" s="8">
        <v>100</v>
      </c>
      <c r="D191" s="8">
        <v>1</v>
      </c>
      <c r="E191" s="8">
        <v>11.3</v>
      </c>
      <c r="F191" s="8">
        <v>290</v>
      </c>
      <c r="G191" s="8">
        <v>8.6999999999999993</v>
      </c>
      <c r="H191" s="8">
        <v>2</v>
      </c>
      <c r="I191" s="8">
        <v>12</v>
      </c>
      <c r="J191" s="8">
        <v>54837120</v>
      </c>
      <c r="K191" s="8">
        <v>3</v>
      </c>
      <c r="L191" s="8">
        <v>3</v>
      </c>
      <c r="M191" s="8">
        <v>1</v>
      </c>
      <c r="N191" s="8">
        <v>7</v>
      </c>
      <c r="O191" s="8">
        <v>10</v>
      </c>
      <c r="P191" s="8"/>
      <c r="R191">
        <f t="shared" si="42"/>
        <v>1</v>
      </c>
      <c r="S191">
        <f t="shared" si="43"/>
        <v>0</v>
      </c>
      <c r="T191">
        <f t="shared" si="44"/>
        <v>0</v>
      </c>
      <c r="U191">
        <f t="shared" si="45"/>
        <v>11.3</v>
      </c>
      <c r="V191" t="str">
        <f t="shared" si="46"/>
        <v/>
      </c>
      <c r="W191" t="str">
        <f t="shared" si="47"/>
        <v/>
      </c>
      <c r="X191">
        <f t="shared" si="41"/>
        <v>1</v>
      </c>
    </row>
    <row r="192" spans="1:24" x14ac:dyDescent="0.25">
      <c r="A192" s="8">
        <v>26</v>
      </c>
      <c r="B192" s="8">
        <v>8</v>
      </c>
      <c r="C192" s="8">
        <v>91</v>
      </c>
      <c r="D192" s="8">
        <v>1</v>
      </c>
      <c r="E192" s="8">
        <v>9.1999999999999993</v>
      </c>
      <c r="F192" s="8">
        <v>47</v>
      </c>
      <c r="G192" s="8">
        <v>4.9000000000000004</v>
      </c>
      <c r="H192" s="8">
        <v>2</v>
      </c>
      <c r="I192" s="8">
        <v>6</v>
      </c>
      <c r="J192" s="8">
        <v>54837120</v>
      </c>
      <c r="K192" s="8">
        <v>2106</v>
      </c>
      <c r="L192" s="8">
        <v>84</v>
      </c>
      <c r="M192" s="8">
        <v>1</v>
      </c>
      <c r="N192" s="8">
        <v>6</v>
      </c>
      <c r="O192" s="8">
        <v>9</v>
      </c>
      <c r="P192" s="8"/>
      <c r="R192">
        <f t="shared" si="42"/>
        <v>1</v>
      </c>
      <c r="S192">
        <f t="shared" si="43"/>
        <v>0</v>
      </c>
      <c r="T192">
        <f t="shared" si="44"/>
        <v>0</v>
      </c>
      <c r="U192">
        <f t="shared" si="45"/>
        <v>9.1999999999999993</v>
      </c>
      <c r="V192" t="str">
        <f t="shared" si="46"/>
        <v/>
      </c>
      <c r="W192" t="str">
        <f t="shared" si="47"/>
        <v/>
      </c>
      <c r="X192">
        <f t="shared" si="41"/>
        <v>1</v>
      </c>
    </row>
    <row r="193" spans="1:24" x14ac:dyDescent="0.25">
      <c r="A193" s="8">
        <v>26</v>
      </c>
      <c r="B193" s="8">
        <v>9</v>
      </c>
      <c r="C193" s="8">
        <v>100</v>
      </c>
      <c r="D193" s="8">
        <v>1</v>
      </c>
      <c r="E193" s="8">
        <v>28.6</v>
      </c>
      <c r="F193" s="8">
        <v>116</v>
      </c>
      <c r="G193" s="8">
        <v>6.8</v>
      </c>
      <c r="H193" s="8">
        <v>3</v>
      </c>
      <c r="I193" s="8">
        <v>11</v>
      </c>
      <c r="J193" s="8">
        <v>54837120</v>
      </c>
      <c r="K193" s="8">
        <v>102</v>
      </c>
      <c r="L193" s="8">
        <v>3</v>
      </c>
      <c r="M193" s="8">
        <v>1</v>
      </c>
      <c r="N193" s="8">
        <v>5</v>
      </c>
      <c r="O193" s="8">
        <v>10</v>
      </c>
      <c r="P193" s="8"/>
      <c r="R193">
        <f t="shared" si="42"/>
        <v>1</v>
      </c>
      <c r="S193">
        <f t="shared" si="43"/>
        <v>0</v>
      </c>
      <c r="T193">
        <f t="shared" si="44"/>
        <v>0</v>
      </c>
      <c r="U193">
        <f t="shared" si="45"/>
        <v>28.6</v>
      </c>
      <c r="V193" t="str">
        <f t="shared" si="46"/>
        <v/>
      </c>
      <c r="W193" t="str">
        <f t="shared" si="47"/>
        <v/>
      </c>
      <c r="X193">
        <f t="shared" si="41"/>
        <v>1</v>
      </c>
    </row>
    <row r="194" spans="1:24" x14ac:dyDescent="0.25">
      <c r="A194" s="8">
        <v>26</v>
      </c>
      <c r="B194" s="8">
        <v>10</v>
      </c>
      <c r="C194" s="8">
        <v>100</v>
      </c>
      <c r="D194" s="8">
        <v>1</v>
      </c>
      <c r="E194" s="8">
        <v>43.9</v>
      </c>
      <c r="F194" s="8">
        <v>38</v>
      </c>
      <c r="G194" s="8">
        <v>4.7</v>
      </c>
      <c r="H194" s="8">
        <v>2</v>
      </c>
      <c r="I194" s="8">
        <v>6</v>
      </c>
      <c r="J194" s="8">
        <v>54837120</v>
      </c>
      <c r="K194" s="8">
        <v>99</v>
      </c>
      <c r="L194" s="8">
        <v>2</v>
      </c>
      <c r="M194" s="8">
        <v>1</v>
      </c>
      <c r="N194" s="8">
        <v>6</v>
      </c>
      <c r="O194" s="8">
        <v>10</v>
      </c>
      <c r="P194" s="8"/>
      <c r="R194">
        <f t="shared" si="42"/>
        <v>1</v>
      </c>
      <c r="S194">
        <f t="shared" si="43"/>
        <v>0</v>
      </c>
      <c r="T194">
        <f t="shared" si="44"/>
        <v>0</v>
      </c>
      <c r="U194">
        <f t="shared" si="45"/>
        <v>43.9</v>
      </c>
      <c r="V194" t="str">
        <f t="shared" si="46"/>
        <v/>
      </c>
      <c r="W194" t="str">
        <f t="shared" si="47"/>
        <v/>
      </c>
      <c r="X194">
        <f t="shared" si="41"/>
        <v>1</v>
      </c>
    </row>
    <row r="195" spans="1:24" x14ac:dyDescent="0.25">
      <c r="A195" s="8">
        <v>26</v>
      </c>
      <c r="B195" s="8">
        <v>11</v>
      </c>
      <c r="C195" s="8">
        <v>91</v>
      </c>
      <c r="D195" s="8">
        <v>1</v>
      </c>
      <c r="E195" s="8">
        <v>30.7</v>
      </c>
      <c r="F195" s="8">
        <v>470</v>
      </c>
      <c r="G195" s="8">
        <v>7.4</v>
      </c>
      <c r="H195" s="8">
        <v>2</v>
      </c>
      <c r="I195" s="8">
        <v>12</v>
      </c>
      <c r="J195" s="8">
        <v>54837120</v>
      </c>
      <c r="K195" s="8">
        <v>2</v>
      </c>
      <c r="L195" s="8">
        <v>2</v>
      </c>
      <c r="M195" s="8">
        <v>1</v>
      </c>
      <c r="N195" s="8">
        <v>7</v>
      </c>
      <c r="O195" s="8">
        <v>9</v>
      </c>
      <c r="P195" s="8"/>
      <c r="R195">
        <f t="shared" si="42"/>
        <v>1</v>
      </c>
      <c r="S195">
        <f t="shared" si="43"/>
        <v>0</v>
      </c>
      <c r="T195">
        <f t="shared" si="44"/>
        <v>0</v>
      </c>
      <c r="U195">
        <f t="shared" si="45"/>
        <v>30.7</v>
      </c>
      <c r="V195" t="str">
        <f t="shared" si="46"/>
        <v/>
      </c>
      <c r="W195" t="str">
        <f t="shared" si="47"/>
        <v/>
      </c>
      <c r="X195">
        <f t="shared" si="41"/>
        <v>1</v>
      </c>
    </row>
    <row r="196" spans="1:24" x14ac:dyDescent="0.25">
      <c r="A196" s="8">
        <v>26</v>
      </c>
      <c r="B196" s="8">
        <v>12</v>
      </c>
      <c r="C196" s="8">
        <v>100</v>
      </c>
      <c r="D196" s="8">
        <v>2</v>
      </c>
      <c r="E196" s="8">
        <v>119.4</v>
      </c>
      <c r="F196" s="8">
        <v>572</v>
      </c>
      <c r="G196" s="8">
        <v>10.3</v>
      </c>
      <c r="H196" s="8">
        <v>2</v>
      </c>
      <c r="I196" s="8">
        <v>14</v>
      </c>
      <c r="J196" s="8">
        <v>109674240</v>
      </c>
      <c r="K196" s="8">
        <v>2</v>
      </c>
      <c r="L196" s="8">
        <v>2</v>
      </c>
      <c r="M196" s="8">
        <v>1</v>
      </c>
      <c r="N196" s="8">
        <v>9</v>
      </c>
      <c r="O196" s="8">
        <v>10</v>
      </c>
      <c r="P196" s="8"/>
      <c r="R196">
        <f t="shared" si="42"/>
        <v>0</v>
      </c>
      <c r="S196">
        <f t="shared" si="43"/>
        <v>1</v>
      </c>
      <c r="T196">
        <f t="shared" si="44"/>
        <v>0</v>
      </c>
      <c r="U196" t="str">
        <f t="shared" si="45"/>
        <v/>
      </c>
      <c r="V196">
        <f t="shared" si="46"/>
        <v>119.4</v>
      </c>
      <c r="W196" t="str">
        <f t="shared" si="47"/>
        <v/>
      </c>
      <c r="X196">
        <f t="shared" si="41"/>
        <v>1</v>
      </c>
    </row>
    <row r="197" spans="1:24" x14ac:dyDescent="0.25">
      <c r="A197" s="8">
        <v>26</v>
      </c>
      <c r="B197" s="8">
        <v>13</v>
      </c>
      <c r="C197" s="8">
        <v>100</v>
      </c>
      <c r="D197" s="8">
        <v>1</v>
      </c>
      <c r="E197" s="8">
        <v>373.5</v>
      </c>
      <c r="F197" s="8">
        <v>10</v>
      </c>
      <c r="G197" s="8">
        <v>2.8</v>
      </c>
      <c r="H197" s="8">
        <v>2</v>
      </c>
      <c r="I197" s="8">
        <v>4</v>
      </c>
      <c r="J197" s="8">
        <v>54837120</v>
      </c>
      <c r="K197" s="8">
        <v>20164527</v>
      </c>
      <c r="L197" s="8">
        <v>11257150</v>
      </c>
      <c r="M197" s="8">
        <v>4</v>
      </c>
      <c r="N197" s="8">
        <v>2</v>
      </c>
      <c r="O197" s="8">
        <v>10</v>
      </c>
      <c r="P197" s="8"/>
      <c r="R197">
        <f t="shared" si="42"/>
        <v>1</v>
      </c>
      <c r="S197">
        <f t="shared" si="43"/>
        <v>0</v>
      </c>
      <c r="T197">
        <f t="shared" si="44"/>
        <v>0</v>
      </c>
      <c r="U197">
        <f t="shared" si="45"/>
        <v>373.5</v>
      </c>
      <c r="V197" t="str">
        <f t="shared" si="46"/>
        <v/>
      </c>
      <c r="W197" t="str">
        <f t="shared" si="47"/>
        <v/>
      </c>
      <c r="X197">
        <f t="shared" ref="X197:X260" si="48">IF(M197&gt;0,1,0)</f>
        <v>1</v>
      </c>
    </row>
    <row r="198" spans="1:24" x14ac:dyDescent="0.25">
      <c r="A198" s="8">
        <v>26</v>
      </c>
      <c r="B198" s="8">
        <v>14</v>
      </c>
      <c r="C198" s="8">
        <v>87</v>
      </c>
      <c r="D198" s="8">
        <v>1</v>
      </c>
      <c r="E198" s="8">
        <v>41.7</v>
      </c>
      <c r="F198" s="8">
        <v>48</v>
      </c>
      <c r="G198" s="8">
        <v>8.1</v>
      </c>
      <c r="H198" s="8">
        <v>2</v>
      </c>
      <c r="I198" s="8">
        <v>11</v>
      </c>
      <c r="J198" s="8">
        <v>54837120</v>
      </c>
      <c r="K198" s="8">
        <v>3410</v>
      </c>
      <c r="L198" s="8">
        <v>4</v>
      </c>
      <c r="M198" s="8">
        <v>2</v>
      </c>
      <c r="N198" s="8">
        <v>8</v>
      </c>
      <c r="O198" s="8">
        <v>9</v>
      </c>
      <c r="P198" s="8"/>
      <c r="R198">
        <f t="shared" si="42"/>
        <v>1</v>
      </c>
      <c r="S198">
        <f t="shared" si="43"/>
        <v>0</v>
      </c>
      <c r="T198">
        <f t="shared" si="44"/>
        <v>0</v>
      </c>
      <c r="U198">
        <f t="shared" si="45"/>
        <v>41.7</v>
      </c>
      <c r="V198" t="str">
        <f t="shared" si="46"/>
        <v/>
      </c>
      <c r="W198" t="str">
        <f t="shared" si="47"/>
        <v/>
      </c>
      <c r="X198">
        <f t="shared" si="48"/>
        <v>1</v>
      </c>
    </row>
    <row r="199" spans="1:24" x14ac:dyDescent="0.25">
      <c r="A199" s="8">
        <v>26</v>
      </c>
      <c r="B199" s="8">
        <v>15</v>
      </c>
      <c r="C199" s="8">
        <v>84</v>
      </c>
      <c r="D199" s="8">
        <v>1</v>
      </c>
      <c r="E199" s="8">
        <v>30.6</v>
      </c>
      <c r="F199" s="8">
        <v>183</v>
      </c>
      <c r="G199" s="8">
        <v>7.6</v>
      </c>
      <c r="H199" s="8">
        <v>2</v>
      </c>
      <c r="I199" s="8">
        <v>12</v>
      </c>
      <c r="J199" s="8">
        <v>54837120</v>
      </c>
      <c r="K199" s="8">
        <v>2</v>
      </c>
      <c r="L199" s="8">
        <v>2</v>
      </c>
      <c r="M199" s="8">
        <v>1</v>
      </c>
      <c r="N199" s="8">
        <v>8</v>
      </c>
      <c r="O199" s="8">
        <v>9</v>
      </c>
      <c r="P199" s="8"/>
      <c r="R199">
        <f t="shared" si="42"/>
        <v>1</v>
      </c>
      <c r="S199">
        <f t="shared" si="43"/>
        <v>0</v>
      </c>
      <c r="T199">
        <f t="shared" si="44"/>
        <v>0</v>
      </c>
      <c r="U199">
        <f t="shared" si="45"/>
        <v>30.6</v>
      </c>
      <c r="V199" t="str">
        <f t="shared" si="46"/>
        <v/>
      </c>
      <c r="W199" t="str">
        <f t="shared" si="47"/>
        <v/>
      </c>
      <c r="X199">
        <f t="shared" si="48"/>
        <v>1</v>
      </c>
    </row>
    <row r="200" spans="1:24" x14ac:dyDescent="0.25">
      <c r="A200" s="8">
        <v>26</v>
      </c>
      <c r="B200" s="8">
        <v>16</v>
      </c>
      <c r="C200" s="8">
        <v>100</v>
      </c>
      <c r="D200" s="8">
        <v>1</v>
      </c>
      <c r="E200" s="8">
        <v>27.5</v>
      </c>
      <c r="F200" s="8">
        <v>18</v>
      </c>
      <c r="G200" s="8">
        <v>4.2</v>
      </c>
      <c r="H200" s="8">
        <v>2</v>
      </c>
      <c r="I200" s="8">
        <v>6</v>
      </c>
      <c r="J200" s="8">
        <v>54837120</v>
      </c>
      <c r="K200" s="8">
        <v>88585</v>
      </c>
      <c r="L200" s="8">
        <v>6985</v>
      </c>
      <c r="M200" s="8">
        <v>2</v>
      </c>
      <c r="N200" s="8">
        <v>6</v>
      </c>
      <c r="O200" s="8">
        <v>10</v>
      </c>
      <c r="P200" s="8"/>
      <c r="R200">
        <f t="shared" si="42"/>
        <v>1</v>
      </c>
      <c r="S200">
        <f t="shared" si="43"/>
        <v>0</v>
      </c>
      <c r="T200">
        <f t="shared" si="44"/>
        <v>0</v>
      </c>
      <c r="U200">
        <f t="shared" si="45"/>
        <v>27.5</v>
      </c>
      <c r="V200" t="str">
        <f t="shared" si="46"/>
        <v/>
      </c>
      <c r="W200" t="str">
        <f t="shared" si="47"/>
        <v/>
      </c>
      <c r="X200">
        <f t="shared" si="48"/>
        <v>1</v>
      </c>
    </row>
    <row r="201" spans="1:24" x14ac:dyDescent="0.25">
      <c r="A201" s="8">
        <v>26</v>
      </c>
      <c r="B201" s="8">
        <v>17</v>
      </c>
      <c r="C201" s="8">
        <v>100</v>
      </c>
      <c r="D201" s="8">
        <v>1</v>
      </c>
      <c r="E201" s="8">
        <v>23.5</v>
      </c>
      <c r="F201" s="8">
        <v>40</v>
      </c>
      <c r="G201" s="8">
        <v>4.3</v>
      </c>
      <c r="H201" s="8">
        <v>2</v>
      </c>
      <c r="I201" s="8">
        <v>6</v>
      </c>
      <c r="J201" s="8">
        <v>54837120</v>
      </c>
      <c r="K201" s="8">
        <v>5</v>
      </c>
      <c r="L201" s="8">
        <v>3</v>
      </c>
      <c r="M201" s="8">
        <v>1</v>
      </c>
      <c r="N201" s="8">
        <v>8</v>
      </c>
      <c r="O201" s="8">
        <v>10</v>
      </c>
      <c r="P201" s="8"/>
      <c r="R201">
        <f t="shared" si="42"/>
        <v>1</v>
      </c>
      <c r="S201">
        <f t="shared" si="43"/>
        <v>0</v>
      </c>
      <c r="T201">
        <f t="shared" si="44"/>
        <v>0</v>
      </c>
      <c r="U201">
        <f t="shared" si="45"/>
        <v>23.5</v>
      </c>
      <c r="V201" t="str">
        <f t="shared" si="46"/>
        <v/>
      </c>
      <c r="W201" t="str">
        <f t="shared" si="47"/>
        <v/>
      </c>
      <c r="X201">
        <f t="shared" si="48"/>
        <v>1</v>
      </c>
    </row>
    <row r="202" spans="1:24" x14ac:dyDescent="0.25">
      <c r="A202" s="8">
        <v>26</v>
      </c>
      <c r="B202" s="8">
        <v>18</v>
      </c>
      <c r="C202" s="8">
        <v>81</v>
      </c>
      <c r="D202" s="8">
        <v>1</v>
      </c>
      <c r="E202" s="8">
        <v>50</v>
      </c>
      <c r="F202" s="8">
        <v>306</v>
      </c>
      <c r="G202" s="8">
        <v>8.1</v>
      </c>
      <c r="H202" s="8">
        <v>3</v>
      </c>
      <c r="I202" s="8">
        <v>12</v>
      </c>
      <c r="J202" s="8">
        <v>54837120</v>
      </c>
      <c r="K202" s="8">
        <v>5</v>
      </c>
      <c r="L202" s="8">
        <v>2</v>
      </c>
      <c r="M202" s="8">
        <v>1</v>
      </c>
      <c r="N202" s="8">
        <v>7</v>
      </c>
      <c r="O202" s="8">
        <v>10</v>
      </c>
      <c r="P202" s="8"/>
      <c r="R202">
        <f t="shared" si="42"/>
        <v>1</v>
      </c>
      <c r="S202">
        <f t="shared" si="43"/>
        <v>0</v>
      </c>
      <c r="T202">
        <f t="shared" si="44"/>
        <v>0</v>
      </c>
      <c r="U202">
        <f t="shared" si="45"/>
        <v>50</v>
      </c>
      <c r="V202" t="str">
        <f t="shared" si="46"/>
        <v/>
      </c>
      <c r="W202" t="str">
        <f t="shared" si="47"/>
        <v/>
      </c>
      <c r="X202">
        <f t="shared" si="48"/>
        <v>1</v>
      </c>
    </row>
    <row r="203" spans="1:24" x14ac:dyDescent="0.25">
      <c r="A203" s="8">
        <v>26</v>
      </c>
      <c r="B203" s="8">
        <v>19</v>
      </c>
      <c r="C203" s="8">
        <v>100</v>
      </c>
      <c r="D203" s="8">
        <v>1</v>
      </c>
      <c r="E203" s="8">
        <v>34.6</v>
      </c>
      <c r="F203" s="8">
        <v>38</v>
      </c>
      <c r="G203" s="8">
        <v>6.7</v>
      </c>
      <c r="H203" s="8">
        <v>4</v>
      </c>
      <c r="I203" s="8">
        <v>9</v>
      </c>
      <c r="J203" s="8">
        <v>54837120</v>
      </c>
      <c r="K203" s="8">
        <v>81235</v>
      </c>
      <c r="L203" s="8">
        <v>177</v>
      </c>
      <c r="M203" s="8">
        <v>1</v>
      </c>
      <c r="N203" s="8">
        <v>7</v>
      </c>
      <c r="O203" s="8">
        <v>10</v>
      </c>
      <c r="P203" s="8"/>
      <c r="R203">
        <f t="shared" si="42"/>
        <v>1</v>
      </c>
      <c r="S203">
        <f t="shared" si="43"/>
        <v>0</v>
      </c>
      <c r="T203">
        <f t="shared" si="44"/>
        <v>0</v>
      </c>
      <c r="U203">
        <f t="shared" si="45"/>
        <v>34.6</v>
      </c>
      <c r="V203" t="str">
        <f t="shared" si="46"/>
        <v/>
      </c>
      <c r="W203" t="str">
        <f t="shared" si="47"/>
        <v/>
      </c>
      <c r="X203">
        <f t="shared" si="48"/>
        <v>1</v>
      </c>
    </row>
    <row r="204" spans="1:24" x14ac:dyDescent="0.25">
      <c r="A204" s="8">
        <v>26</v>
      </c>
      <c r="B204" s="8">
        <v>20</v>
      </c>
      <c r="C204" s="8">
        <v>55</v>
      </c>
      <c r="D204" s="8">
        <v>1</v>
      </c>
      <c r="E204" s="8">
        <v>39</v>
      </c>
      <c r="F204" s="8">
        <v>1066</v>
      </c>
      <c r="G204" s="8">
        <v>8.8000000000000007</v>
      </c>
      <c r="H204" s="8">
        <v>2</v>
      </c>
      <c r="I204" s="8">
        <v>11</v>
      </c>
      <c r="J204" s="8">
        <v>54837120</v>
      </c>
      <c r="K204" s="8">
        <v>1</v>
      </c>
      <c r="L204" s="8">
        <v>1</v>
      </c>
      <c r="M204" s="8">
        <v>1</v>
      </c>
      <c r="N204" s="8">
        <v>5</v>
      </c>
      <c r="O204" s="8">
        <v>8</v>
      </c>
      <c r="P204" s="8"/>
      <c r="R204">
        <f t="shared" si="42"/>
        <v>1</v>
      </c>
      <c r="S204">
        <f t="shared" si="43"/>
        <v>0</v>
      </c>
      <c r="T204">
        <f t="shared" si="44"/>
        <v>0</v>
      </c>
      <c r="U204">
        <f t="shared" si="45"/>
        <v>39</v>
      </c>
      <c r="V204" t="str">
        <f t="shared" si="46"/>
        <v/>
      </c>
      <c r="W204" t="str">
        <f t="shared" si="47"/>
        <v/>
      </c>
      <c r="X204">
        <f t="shared" si="48"/>
        <v>1</v>
      </c>
    </row>
    <row r="205" spans="1:24" x14ac:dyDescent="0.25">
      <c r="A205" s="8">
        <v>26</v>
      </c>
      <c r="B205" s="8">
        <v>21</v>
      </c>
      <c r="C205" s="8">
        <v>100</v>
      </c>
      <c r="D205" s="8">
        <v>1</v>
      </c>
      <c r="E205" s="8">
        <v>42.9</v>
      </c>
      <c r="F205" s="8">
        <v>233</v>
      </c>
      <c r="G205" s="8">
        <v>8.6999999999999993</v>
      </c>
      <c r="H205" s="8">
        <v>2</v>
      </c>
      <c r="I205" s="8">
        <v>12</v>
      </c>
      <c r="J205" s="8">
        <v>54837120</v>
      </c>
      <c r="K205" s="8">
        <v>17</v>
      </c>
      <c r="L205" s="8">
        <v>1</v>
      </c>
      <c r="M205" s="8">
        <v>1</v>
      </c>
      <c r="N205" s="8">
        <v>7</v>
      </c>
      <c r="O205" s="8">
        <v>10</v>
      </c>
      <c r="P205" s="8"/>
      <c r="R205">
        <f t="shared" si="42"/>
        <v>1</v>
      </c>
      <c r="S205">
        <f t="shared" si="43"/>
        <v>0</v>
      </c>
      <c r="T205">
        <f t="shared" si="44"/>
        <v>0</v>
      </c>
      <c r="U205">
        <f t="shared" si="45"/>
        <v>42.9</v>
      </c>
      <c r="V205" t="str">
        <f t="shared" si="46"/>
        <v/>
      </c>
      <c r="W205" t="str">
        <f t="shared" si="47"/>
        <v/>
      </c>
      <c r="X205">
        <f t="shared" si="48"/>
        <v>1</v>
      </c>
    </row>
    <row r="206" spans="1:24" x14ac:dyDescent="0.25">
      <c r="A206" s="8">
        <v>26</v>
      </c>
      <c r="B206" s="8">
        <v>22</v>
      </c>
      <c r="C206" s="8">
        <v>100</v>
      </c>
      <c r="D206" s="8">
        <v>1</v>
      </c>
      <c r="E206" s="8">
        <v>39.9</v>
      </c>
      <c r="F206" s="8">
        <v>144</v>
      </c>
      <c r="G206" s="8">
        <v>8.8000000000000007</v>
      </c>
      <c r="H206" s="8">
        <v>4</v>
      </c>
      <c r="I206" s="8">
        <v>13</v>
      </c>
      <c r="J206" s="8">
        <v>54837120</v>
      </c>
      <c r="K206" s="8">
        <v>112</v>
      </c>
      <c r="L206" s="8">
        <v>1</v>
      </c>
      <c r="M206" s="8">
        <v>1</v>
      </c>
      <c r="N206" s="8">
        <v>9</v>
      </c>
      <c r="O206" s="8">
        <v>10</v>
      </c>
      <c r="P206" s="8"/>
      <c r="R206">
        <f t="shared" si="42"/>
        <v>1</v>
      </c>
      <c r="S206">
        <f t="shared" si="43"/>
        <v>0</v>
      </c>
      <c r="T206">
        <f t="shared" si="44"/>
        <v>0</v>
      </c>
      <c r="U206">
        <f t="shared" si="45"/>
        <v>39.9</v>
      </c>
      <c r="V206" t="str">
        <f t="shared" si="46"/>
        <v/>
      </c>
      <c r="W206" t="str">
        <f t="shared" si="47"/>
        <v/>
      </c>
      <c r="X206">
        <f t="shared" si="48"/>
        <v>1</v>
      </c>
    </row>
    <row r="207" spans="1:24" x14ac:dyDescent="0.25">
      <c r="A207" s="8">
        <v>26</v>
      </c>
      <c r="B207" s="8">
        <v>23</v>
      </c>
      <c r="C207" s="8">
        <v>100</v>
      </c>
      <c r="D207" s="8">
        <v>1</v>
      </c>
      <c r="E207" s="8">
        <v>28.6</v>
      </c>
      <c r="F207" s="8">
        <v>214</v>
      </c>
      <c r="G207" s="8">
        <v>10.3</v>
      </c>
      <c r="H207" s="8">
        <v>3</v>
      </c>
      <c r="I207" s="8">
        <v>14</v>
      </c>
      <c r="J207" s="8">
        <v>54837120</v>
      </c>
      <c r="K207" s="8">
        <v>6</v>
      </c>
      <c r="L207" s="8">
        <v>2</v>
      </c>
      <c r="M207" s="8">
        <v>2</v>
      </c>
      <c r="N207" s="8">
        <v>10</v>
      </c>
      <c r="O207" s="8">
        <v>10</v>
      </c>
      <c r="P207" s="8"/>
      <c r="R207">
        <f t="shared" si="42"/>
        <v>1</v>
      </c>
      <c r="S207">
        <f t="shared" si="43"/>
        <v>0</v>
      </c>
      <c r="T207">
        <f t="shared" si="44"/>
        <v>0</v>
      </c>
      <c r="U207">
        <f t="shared" si="45"/>
        <v>28.6</v>
      </c>
      <c r="V207" t="str">
        <f t="shared" si="46"/>
        <v/>
      </c>
      <c r="W207" t="str">
        <f t="shared" si="47"/>
        <v/>
      </c>
      <c r="X207">
        <f t="shared" si="48"/>
        <v>1</v>
      </c>
    </row>
    <row r="208" spans="1:24" x14ac:dyDescent="0.25">
      <c r="A208" s="8">
        <v>26</v>
      </c>
      <c r="B208" s="8">
        <v>24</v>
      </c>
      <c r="C208" s="8">
        <v>0</v>
      </c>
      <c r="D208" s="8">
        <v>3</v>
      </c>
      <c r="E208" s="8">
        <v>1475.3</v>
      </c>
      <c r="F208" s="8">
        <v>27</v>
      </c>
      <c r="G208" s="8">
        <v>7.4</v>
      </c>
      <c r="H208" s="8">
        <v>3</v>
      </c>
      <c r="I208" s="8">
        <v>8</v>
      </c>
      <c r="J208" s="8">
        <v>1535439360</v>
      </c>
      <c r="K208" s="8">
        <v>33602252</v>
      </c>
      <c r="L208" s="8">
        <v>313845</v>
      </c>
      <c r="M208" s="8">
        <v>0</v>
      </c>
      <c r="N208" s="8">
        <v>0</v>
      </c>
      <c r="O208" s="8">
        <v>0</v>
      </c>
      <c r="P208" s="8"/>
      <c r="R208">
        <f t="shared" si="42"/>
        <v>0</v>
      </c>
      <c r="S208">
        <f t="shared" si="43"/>
        <v>0</v>
      </c>
      <c r="T208">
        <f t="shared" si="44"/>
        <v>1</v>
      </c>
      <c r="U208" t="str">
        <f t="shared" si="45"/>
        <v/>
      </c>
      <c r="V208" t="str">
        <f t="shared" si="46"/>
        <v/>
      </c>
      <c r="W208">
        <f t="shared" si="47"/>
        <v>1475.3</v>
      </c>
      <c r="X208">
        <f t="shared" si="48"/>
        <v>0</v>
      </c>
    </row>
    <row r="209" spans="1:24" x14ac:dyDescent="0.25">
      <c r="A209" s="8">
        <v>26</v>
      </c>
      <c r="B209" s="8">
        <v>25</v>
      </c>
      <c r="C209" s="8">
        <v>100</v>
      </c>
      <c r="D209" s="8">
        <v>1</v>
      </c>
      <c r="E209" s="8">
        <v>43</v>
      </c>
      <c r="F209" s="8">
        <v>539</v>
      </c>
      <c r="G209" s="8">
        <v>8.6999999999999993</v>
      </c>
      <c r="H209" s="8">
        <v>4</v>
      </c>
      <c r="I209" s="8">
        <v>12</v>
      </c>
      <c r="J209" s="8">
        <v>54837120</v>
      </c>
      <c r="K209" s="8">
        <v>1</v>
      </c>
      <c r="L209" s="8">
        <v>1</v>
      </c>
      <c r="M209" s="8">
        <v>1</v>
      </c>
      <c r="N209" s="8">
        <v>9</v>
      </c>
      <c r="O209" s="8">
        <v>10</v>
      </c>
      <c r="P209" s="8"/>
      <c r="R209">
        <f t="shared" si="42"/>
        <v>1</v>
      </c>
      <c r="S209">
        <f t="shared" si="43"/>
        <v>0</v>
      </c>
      <c r="T209">
        <f t="shared" si="44"/>
        <v>0</v>
      </c>
      <c r="U209">
        <f t="shared" si="45"/>
        <v>43</v>
      </c>
      <c r="V209" t="str">
        <f t="shared" si="46"/>
        <v/>
      </c>
      <c r="W209" t="str">
        <f t="shared" si="47"/>
        <v/>
      </c>
      <c r="X209">
        <f t="shared" si="48"/>
        <v>1</v>
      </c>
    </row>
    <row r="210" spans="1:24" x14ac:dyDescent="0.25">
      <c r="A210" s="8">
        <v>26</v>
      </c>
      <c r="B210" s="8">
        <v>26</v>
      </c>
      <c r="C210" s="8">
        <v>100</v>
      </c>
      <c r="D210" s="8">
        <v>1</v>
      </c>
      <c r="E210" s="8">
        <v>32.6</v>
      </c>
      <c r="F210" s="8">
        <v>58</v>
      </c>
      <c r="G210" s="8">
        <v>6.4</v>
      </c>
      <c r="H210" s="8">
        <v>3</v>
      </c>
      <c r="I210" s="8">
        <v>9</v>
      </c>
      <c r="J210" s="8">
        <v>54837120</v>
      </c>
      <c r="K210" s="8">
        <v>120</v>
      </c>
      <c r="L210" s="8">
        <v>3</v>
      </c>
      <c r="M210" s="8">
        <v>1</v>
      </c>
      <c r="N210" s="8">
        <v>8</v>
      </c>
      <c r="O210" s="8">
        <v>10</v>
      </c>
      <c r="P210" s="8"/>
      <c r="R210">
        <f t="shared" si="42"/>
        <v>1</v>
      </c>
      <c r="S210">
        <f t="shared" si="43"/>
        <v>0</v>
      </c>
      <c r="T210">
        <f t="shared" si="44"/>
        <v>0</v>
      </c>
      <c r="U210">
        <f t="shared" si="45"/>
        <v>32.6</v>
      </c>
      <c r="V210" t="str">
        <f t="shared" si="46"/>
        <v/>
      </c>
      <c r="W210" t="str">
        <f t="shared" si="47"/>
        <v/>
      </c>
      <c r="X210">
        <f t="shared" si="48"/>
        <v>1</v>
      </c>
    </row>
    <row r="211" spans="1:24" x14ac:dyDescent="0.25">
      <c r="A211" s="8">
        <v>26</v>
      </c>
      <c r="B211" s="8">
        <v>27</v>
      </c>
      <c r="C211" s="8">
        <v>100</v>
      </c>
      <c r="D211" s="8">
        <v>1</v>
      </c>
      <c r="E211" s="8">
        <v>18.399999999999999</v>
      </c>
      <c r="F211" s="8">
        <v>97</v>
      </c>
      <c r="G211" s="8">
        <v>8.1999999999999993</v>
      </c>
      <c r="H211" s="8">
        <v>2</v>
      </c>
      <c r="I211" s="8">
        <v>12</v>
      </c>
      <c r="J211" s="8">
        <v>54837120</v>
      </c>
      <c r="K211" s="8">
        <v>5</v>
      </c>
      <c r="L211" s="8">
        <v>1</v>
      </c>
      <c r="M211" s="8">
        <v>1</v>
      </c>
      <c r="N211" s="8">
        <v>8</v>
      </c>
      <c r="O211" s="8">
        <v>10</v>
      </c>
      <c r="P211" s="8"/>
      <c r="R211">
        <f t="shared" si="42"/>
        <v>1</v>
      </c>
      <c r="S211">
        <f t="shared" si="43"/>
        <v>0</v>
      </c>
      <c r="T211">
        <f t="shared" si="44"/>
        <v>0</v>
      </c>
      <c r="U211">
        <f t="shared" si="45"/>
        <v>18.399999999999999</v>
      </c>
      <c r="V211" t="str">
        <f t="shared" si="46"/>
        <v/>
      </c>
      <c r="W211" t="str">
        <f t="shared" si="47"/>
        <v/>
      </c>
      <c r="X211">
        <f t="shared" si="48"/>
        <v>1</v>
      </c>
    </row>
    <row r="212" spans="1:24" x14ac:dyDescent="0.25">
      <c r="A212" s="8">
        <v>26</v>
      </c>
      <c r="B212" s="8">
        <v>28</v>
      </c>
      <c r="C212" s="8">
        <v>100</v>
      </c>
      <c r="D212" s="8">
        <v>1</v>
      </c>
      <c r="E212" s="8">
        <v>51</v>
      </c>
      <c r="F212" s="8">
        <v>126</v>
      </c>
      <c r="G212" s="8">
        <v>8.6999999999999993</v>
      </c>
      <c r="H212" s="8">
        <v>2</v>
      </c>
      <c r="I212" s="8">
        <v>12</v>
      </c>
      <c r="J212" s="8">
        <v>54837120</v>
      </c>
      <c r="K212" s="8">
        <v>147</v>
      </c>
      <c r="L212" s="8">
        <v>4</v>
      </c>
      <c r="M212" s="8">
        <v>1</v>
      </c>
      <c r="N212" s="8">
        <v>7</v>
      </c>
      <c r="O212" s="8">
        <v>10</v>
      </c>
      <c r="P212" s="8"/>
      <c r="R212">
        <f t="shared" si="42"/>
        <v>1</v>
      </c>
      <c r="S212">
        <f t="shared" si="43"/>
        <v>0</v>
      </c>
      <c r="T212">
        <f t="shared" si="44"/>
        <v>0</v>
      </c>
      <c r="U212">
        <f t="shared" si="45"/>
        <v>51</v>
      </c>
      <c r="V212" t="str">
        <f t="shared" si="46"/>
        <v/>
      </c>
      <c r="W212" t="str">
        <f t="shared" si="47"/>
        <v/>
      </c>
      <c r="X212">
        <f t="shared" si="48"/>
        <v>1</v>
      </c>
    </row>
    <row r="213" spans="1:24" x14ac:dyDescent="0.25">
      <c r="A213" s="8">
        <v>26</v>
      </c>
      <c r="B213" s="8">
        <v>29</v>
      </c>
      <c r="C213" s="8">
        <v>100</v>
      </c>
      <c r="D213" s="8">
        <v>1</v>
      </c>
      <c r="E213" s="8">
        <v>32.9</v>
      </c>
      <c r="F213" s="8">
        <v>245</v>
      </c>
      <c r="G213" s="8">
        <v>7.9</v>
      </c>
      <c r="H213" s="8">
        <v>3</v>
      </c>
      <c r="I213" s="8">
        <v>12</v>
      </c>
      <c r="J213" s="8">
        <v>54837120</v>
      </c>
      <c r="K213" s="8">
        <v>12</v>
      </c>
      <c r="L213" s="8">
        <v>2</v>
      </c>
      <c r="M213" s="8">
        <v>1</v>
      </c>
      <c r="N213" s="8">
        <v>8</v>
      </c>
      <c r="O213" s="8">
        <v>10</v>
      </c>
      <c r="P213" s="8"/>
      <c r="R213">
        <f t="shared" si="42"/>
        <v>1</v>
      </c>
      <c r="S213">
        <f t="shared" si="43"/>
        <v>0</v>
      </c>
      <c r="T213">
        <f t="shared" si="44"/>
        <v>0</v>
      </c>
      <c r="U213">
        <f t="shared" si="45"/>
        <v>32.9</v>
      </c>
      <c r="V213" t="str">
        <f t="shared" si="46"/>
        <v/>
      </c>
      <c r="W213" t="str">
        <f t="shared" si="47"/>
        <v/>
      </c>
      <c r="X213">
        <f t="shared" si="48"/>
        <v>1</v>
      </c>
    </row>
    <row r="214" spans="1:24" x14ac:dyDescent="0.25">
      <c r="A214" s="8">
        <v>27</v>
      </c>
      <c r="B214" s="8">
        <v>0</v>
      </c>
      <c r="C214" s="8">
        <v>79</v>
      </c>
      <c r="D214" s="8">
        <v>2</v>
      </c>
      <c r="E214" s="8">
        <v>67.5</v>
      </c>
      <c r="F214" s="8">
        <v>507</v>
      </c>
      <c r="G214" s="8">
        <v>10.6</v>
      </c>
      <c r="H214" s="8">
        <v>3</v>
      </c>
      <c r="I214" s="8">
        <v>16</v>
      </c>
      <c r="J214" s="8">
        <v>109674240</v>
      </c>
      <c r="K214" s="8">
        <v>1</v>
      </c>
      <c r="L214" s="8">
        <v>1</v>
      </c>
      <c r="M214" s="8">
        <v>1</v>
      </c>
      <c r="N214" s="8">
        <v>9</v>
      </c>
      <c r="O214" s="8">
        <v>10</v>
      </c>
      <c r="P214" s="8"/>
      <c r="R214">
        <f t="shared" si="42"/>
        <v>0</v>
      </c>
      <c r="S214">
        <f t="shared" si="43"/>
        <v>1</v>
      </c>
      <c r="T214">
        <f t="shared" si="44"/>
        <v>0</v>
      </c>
      <c r="U214" t="str">
        <f t="shared" si="45"/>
        <v/>
      </c>
      <c r="V214">
        <f t="shared" si="46"/>
        <v>67.5</v>
      </c>
      <c r="W214" t="str">
        <f t="shared" si="47"/>
        <v/>
      </c>
      <c r="X214">
        <f t="shared" si="48"/>
        <v>1</v>
      </c>
    </row>
    <row r="215" spans="1:24" x14ac:dyDescent="0.25">
      <c r="A215" s="8">
        <v>27</v>
      </c>
      <c r="B215" s="8">
        <v>1</v>
      </c>
      <c r="C215" s="8">
        <v>90</v>
      </c>
      <c r="D215" s="8">
        <v>1</v>
      </c>
      <c r="E215" s="8">
        <v>27.6</v>
      </c>
      <c r="F215" s="8">
        <v>23</v>
      </c>
      <c r="G215" s="8">
        <v>4</v>
      </c>
      <c r="H215" s="8">
        <v>2</v>
      </c>
      <c r="I215" s="8">
        <v>6</v>
      </c>
      <c r="J215" s="8">
        <v>54837120</v>
      </c>
      <c r="K215" s="8">
        <v>94</v>
      </c>
      <c r="L215" s="8">
        <v>2</v>
      </c>
      <c r="M215" s="8">
        <v>1</v>
      </c>
      <c r="N215" s="8">
        <v>4</v>
      </c>
      <c r="O215" s="8">
        <v>9</v>
      </c>
      <c r="P215" s="8"/>
      <c r="R215">
        <f t="shared" si="42"/>
        <v>1</v>
      </c>
      <c r="S215">
        <f t="shared" si="43"/>
        <v>0</v>
      </c>
      <c r="T215">
        <f t="shared" si="44"/>
        <v>0</v>
      </c>
      <c r="U215">
        <f t="shared" si="45"/>
        <v>27.6</v>
      </c>
      <c r="V215" t="str">
        <f t="shared" si="46"/>
        <v/>
      </c>
      <c r="W215" t="str">
        <f t="shared" si="47"/>
        <v/>
      </c>
      <c r="X215">
        <f t="shared" si="48"/>
        <v>1</v>
      </c>
    </row>
    <row r="216" spans="1:24" x14ac:dyDescent="0.25">
      <c r="A216" s="8">
        <v>27</v>
      </c>
      <c r="B216" s="8">
        <v>2</v>
      </c>
      <c r="C216" s="8">
        <v>100</v>
      </c>
      <c r="D216" s="8">
        <v>1</v>
      </c>
      <c r="E216" s="8">
        <v>39.9</v>
      </c>
      <c r="F216" s="8">
        <v>625</v>
      </c>
      <c r="G216" s="8">
        <v>8.6999999999999993</v>
      </c>
      <c r="H216" s="8">
        <v>2</v>
      </c>
      <c r="I216" s="8">
        <v>12</v>
      </c>
      <c r="J216" s="8">
        <v>54837120</v>
      </c>
      <c r="K216" s="8">
        <v>1</v>
      </c>
      <c r="L216" s="8">
        <v>1</v>
      </c>
      <c r="M216" s="8">
        <v>1</v>
      </c>
      <c r="N216" s="8">
        <v>5</v>
      </c>
      <c r="O216" s="8">
        <v>10</v>
      </c>
      <c r="P216" s="8"/>
      <c r="R216">
        <f t="shared" si="42"/>
        <v>1</v>
      </c>
      <c r="S216">
        <f t="shared" si="43"/>
        <v>0</v>
      </c>
      <c r="T216">
        <f t="shared" si="44"/>
        <v>0</v>
      </c>
      <c r="U216">
        <f t="shared" si="45"/>
        <v>39.9</v>
      </c>
      <c r="V216" t="str">
        <f t="shared" si="46"/>
        <v/>
      </c>
      <c r="W216" t="str">
        <f t="shared" si="47"/>
        <v/>
      </c>
      <c r="X216">
        <f t="shared" si="48"/>
        <v>1</v>
      </c>
    </row>
    <row r="217" spans="1:24" x14ac:dyDescent="0.25">
      <c r="A217" s="8">
        <v>27</v>
      </c>
      <c r="B217" s="8">
        <v>3</v>
      </c>
      <c r="C217" s="8">
        <v>92</v>
      </c>
      <c r="D217" s="8">
        <v>3</v>
      </c>
      <c r="E217" s="8">
        <v>476.9</v>
      </c>
      <c r="F217" s="8">
        <v>114</v>
      </c>
      <c r="G217" s="8">
        <v>5.8</v>
      </c>
      <c r="H217" s="8">
        <v>2</v>
      </c>
      <c r="I217" s="8">
        <v>9</v>
      </c>
      <c r="J217" s="8">
        <v>1535439360</v>
      </c>
      <c r="K217" s="8">
        <v>127</v>
      </c>
      <c r="L217" s="8">
        <v>1</v>
      </c>
      <c r="M217" s="8">
        <v>1</v>
      </c>
      <c r="N217" s="8">
        <v>7</v>
      </c>
      <c r="O217" s="8">
        <v>9</v>
      </c>
      <c r="P217" s="8"/>
      <c r="R217">
        <f t="shared" si="42"/>
        <v>0</v>
      </c>
      <c r="S217">
        <f t="shared" si="43"/>
        <v>0</v>
      </c>
      <c r="T217">
        <f t="shared" si="44"/>
        <v>1</v>
      </c>
      <c r="U217" t="str">
        <f t="shared" si="45"/>
        <v/>
      </c>
      <c r="V217" t="str">
        <f t="shared" si="46"/>
        <v/>
      </c>
      <c r="W217">
        <f t="shared" si="47"/>
        <v>476.9</v>
      </c>
      <c r="X217">
        <f t="shared" si="48"/>
        <v>1</v>
      </c>
    </row>
    <row r="218" spans="1:24" x14ac:dyDescent="0.25">
      <c r="A218" s="8">
        <v>27</v>
      </c>
      <c r="B218" s="8">
        <v>4</v>
      </c>
      <c r="C218" s="8">
        <v>93</v>
      </c>
      <c r="D218" s="8">
        <v>1</v>
      </c>
      <c r="E218" s="8">
        <v>46.9</v>
      </c>
      <c r="F218" s="8">
        <v>1211</v>
      </c>
      <c r="G218" s="8">
        <v>10</v>
      </c>
      <c r="H218" s="8">
        <v>2</v>
      </c>
      <c r="I218" s="8">
        <v>14</v>
      </c>
      <c r="J218" s="8">
        <v>54837120</v>
      </c>
      <c r="K218" s="8">
        <v>4</v>
      </c>
      <c r="L218" s="8">
        <v>4</v>
      </c>
      <c r="M218" s="8">
        <v>3</v>
      </c>
      <c r="N218" s="8">
        <v>9</v>
      </c>
      <c r="O218" s="8">
        <v>9</v>
      </c>
      <c r="P218" s="8"/>
      <c r="R218">
        <f t="shared" si="42"/>
        <v>1</v>
      </c>
      <c r="S218">
        <f t="shared" si="43"/>
        <v>0</v>
      </c>
      <c r="T218">
        <f t="shared" si="44"/>
        <v>0</v>
      </c>
      <c r="U218">
        <f t="shared" si="45"/>
        <v>46.9</v>
      </c>
      <c r="V218" t="str">
        <f t="shared" si="46"/>
        <v/>
      </c>
      <c r="W218" t="str">
        <f t="shared" si="47"/>
        <v/>
      </c>
      <c r="X218">
        <f t="shared" si="48"/>
        <v>1</v>
      </c>
    </row>
    <row r="219" spans="1:24" x14ac:dyDescent="0.25">
      <c r="A219" s="8">
        <v>27</v>
      </c>
      <c r="B219" s="8">
        <v>5</v>
      </c>
      <c r="C219" s="8">
        <v>29</v>
      </c>
      <c r="D219" s="8">
        <v>1</v>
      </c>
      <c r="E219" s="8">
        <v>15.3</v>
      </c>
      <c r="F219" s="8">
        <v>68</v>
      </c>
      <c r="G219" s="8">
        <v>4.0999999999999996</v>
      </c>
      <c r="H219" s="8">
        <v>2</v>
      </c>
      <c r="I219" s="8">
        <v>5</v>
      </c>
      <c r="J219" s="8">
        <v>54837120</v>
      </c>
      <c r="K219" s="8">
        <v>3</v>
      </c>
      <c r="L219" s="8">
        <v>3</v>
      </c>
      <c r="M219" s="8">
        <v>1</v>
      </c>
      <c r="N219" s="8">
        <v>5</v>
      </c>
      <c r="O219" s="8">
        <v>10</v>
      </c>
      <c r="P219" s="8"/>
      <c r="R219">
        <f t="shared" si="42"/>
        <v>1</v>
      </c>
      <c r="S219">
        <f t="shared" si="43"/>
        <v>0</v>
      </c>
      <c r="T219">
        <f t="shared" si="44"/>
        <v>0</v>
      </c>
      <c r="U219">
        <f t="shared" si="45"/>
        <v>15.3</v>
      </c>
      <c r="V219" t="str">
        <f t="shared" si="46"/>
        <v/>
      </c>
      <c r="W219" t="str">
        <f t="shared" si="47"/>
        <v/>
      </c>
      <c r="X219">
        <f t="shared" si="48"/>
        <v>1</v>
      </c>
    </row>
    <row r="220" spans="1:24" x14ac:dyDescent="0.25">
      <c r="A220" s="8">
        <v>27</v>
      </c>
      <c r="B220" s="8">
        <v>6</v>
      </c>
      <c r="C220" s="8">
        <v>100</v>
      </c>
      <c r="D220" s="8">
        <v>1</v>
      </c>
      <c r="E220" s="8">
        <v>23.4</v>
      </c>
      <c r="F220" s="8">
        <v>136</v>
      </c>
      <c r="G220" s="8">
        <v>6.6</v>
      </c>
      <c r="H220" s="8">
        <v>2</v>
      </c>
      <c r="I220" s="8">
        <v>9</v>
      </c>
      <c r="J220" s="8">
        <v>54837120</v>
      </c>
      <c r="K220" s="8">
        <v>100</v>
      </c>
      <c r="L220" s="8">
        <v>11</v>
      </c>
      <c r="M220" s="8">
        <v>2</v>
      </c>
      <c r="N220" s="8">
        <v>6</v>
      </c>
      <c r="O220" s="8">
        <v>10</v>
      </c>
      <c r="P220" s="8"/>
      <c r="R220">
        <f t="shared" si="42"/>
        <v>1</v>
      </c>
      <c r="S220">
        <f t="shared" si="43"/>
        <v>0</v>
      </c>
      <c r="T220">
        <f t="shared" si="44"/>
        <v>0</v>
      </c>
      <c r="U220">
        <f t="shared" si="45"/>
        <v>23.4</v>
      </c>
      <c r="V220" t="str">
        <f t="shared" si="46"/>
        <v/>
      </c>
      <c r="W220" t="str">
        <f t="shared" si="47"/>
        <v/>
      </c>
      <c r="X220">
        <f t="shared" si="48"/>
        <v>1</v>
      </c>
    </row>
    <row r="221" spans="1:24" x14ac:dyDescent="0.25">
      <c r="A221" s="8">
        <v>27</v>
      </c>
      <c r="B221" s="8">
        <v>7</v>
      </c>
      <c r="C221" s="8">
        <v>100</v>
      </c>
      <c r="D221" s="8">
        <v>1</v>
      </c>
      <c r="E221" s="8">
        <v>41.8</v>
      </c>
      <c r="F221" s="8">
        <v>338</v>
      </c>
      <c r="G221" s="8">
        <v>9</v>
      </c>
      <c r="H221" s="8">
        <v>3</v>
      </c>
      <c r="I221" s="8">
        <v>14</v>
      </c>
      <c r="J221" s="8">
        <v>54837120</v>
      </c>
      <c r="K221" s="8">
        <v>5</v>
      </c>
      <c r="L221" s="8">
        <v>3</v>
      </c>
      <c r="M221" s="8">
        <v>2</v>
      </c>
      <c r="N221" s="8">
        <v>8</v>
      </c>
      <c r="O221" s="8">
        <v>10</v>
      </c>
      <c r="P221" s="8"/>
      <c r="R221">
        <f t="shared" si="42"/>
        <v>1</v>
      </c>
      <c r="S221">
        <f t="shared" si="43"/>
        <v>0</v>
      </c>
      <c r="T221">
        <f t="shared" si="44"/>
        <v>0</v>
      </c>
      <c r="U221">
        <f t="shared" si="45"/>
        <v>41.8</v>
      </c>
      <c r="V221" t="str">
        <f t="shared" si="46"/>
        <v/>
      </c>
      <c r="W221" t="str">
        <f t="shared" si="47"/>
        <v/>
      </c>
      <c r="X221">
        <f t="shared" si="48"/>
        <v>1</v>
      </c>
    </row>
    <row r="222" spans="1:24" x14ac:dyDescent="0.25">
      <c r="A222" s="8">
        <v>27</v>
      </c>
      <c r="B222" s="8">
        <v>8</v>
      </c>
      <c r="C222" s="8">
        <v>100</v>
      </c>
      <c r="D222" s="8">
        <v>2</v>
      </c>
      <c r="E222" s="8">
        <v>55.1</v>
      </c>
      <c r="F222" s="8">
        <v>24</v>
      </c>
      <c r="G222" s="8">
        <v>4.5999999999999996</v>
      </c>
      <c r="H222" s="8">
        <v>2</v>
      </c>
      <c r="I222" s="8">
        <v>6</v>
      </c>
      <c r="J222" s="8">
        <v>109674240</v>
      </c>
      <c r="K222" s="8">
        <v>51145</v>
      </c>
      <c r="L222" s="8">
        <v>184</v>
      </c>
      <c r="M222" s="8">
        <v>1</v>
      </c>
      <c r="N222" s="8">
        <v>8</v>
      </c>
      <c r="O222" s="8">
        <v>10</v>
      </c>
      <c r="P222" s="8"/>
      <c r="R222">
        <f t="shared" si="42"/>
        <v>0</v>
      </c>
      <c r="S222">
        <f t="shared" si="43"/>
        <v>1</v>
      </c>
      <c r="T222">
        <f t="shared" si="44"/>
        <v>0</v>
      </c>
      <c r="U222" t="str">
        <f t="shared" si="45"/>
        <v/>
      </c>
      <c r="V222">
        <f t="shared" si="46"/>
        <v>55.1</v>
      </c>
      <c r="W222" t="str">
        <f t="shared" si="47"/>
        <v/>
      </c>
      <c r="X222">
        <f t="shared" si="48"/>
        <v>1</v>
      </c>
    </row>
    <row r="223" spans="1:24" x14ac:dyDescent="0.25">
      <c r="A223" s="8">
        <v>27</v>
      </c>
      <c r="B223" s="8">
        <v>9</v>
      </c>
      <c r="C223" s="8">
        <v>100</v>
      </c>
      <c r="D223" s="8">
        <v>1</v>
      </c>
      <c r="E223" s="8">
        <v>20.3</v>
      </c>
      <c r="F223" s="8">
        <v>226</v>
      </c>
      <c r="G223" s="8">
        <v>7.6</v>
      </c>
      <c r="H223" s="8">
        <v>2</v>
      </c>
      <c r="I223" s="8">
        <v>12</v>
      </c>
      <c r="J223" s="8">
        <v>54837120</v>
      </c>
      <c r="K223" s="8">
        <v>1</v>
      </c>
      <c r="L223" s="8">
        <v>1</v>
      </c>
      <c r="M223" s="8">
        <v>1</v>
      </c>
      <c r="N223" s="8">
        <v>8</v>
      </c>
      <c r="O223" s="8">
        <v>10</v>
      </c>
      <c r="P223" s="8"/>
      <c r="R223">
        <f t="shared" ref="R223:R286" si="49">IF(D223=1,1,0)</f>
        <v>1</v>
      </c>
      <c r="S223">
        <f t="shared" ref="S223:S286" si="50">IF(D223=2,1,0)</f>
        <v>0</v>
      </c>
      <c r="T223">
        <f t="shared" ref="T223:T286" si="51">IF(D223=3,1,0)</f>
        <v>0</v>
      </c>
      <c r="U223">
        <f t="shared" si="45"/>
        <v>20.3</v>
      </c>
      <c r="V223" t="str">
        <f t="shared" si="46"/>
        <v/>
      </c>
      <c r="W223" t="str">
        <f t="shared" si="47"/>
        <v/>
      </c>
      <c r="X223">
        <f t="shared" si="48"/>
        <v>1</v>
      </c>
    </row>
    <row r="224" spans="1:24" x14ac:dyDescent="0.25">
      <c r="A224" s="8">
        <v>27</v>
      </c>
      <c r="B224" s="8">
        <v>10</v>
      </c>
      <c r="C224" s="8">
        <v>100</v>
      </c>
      <c r="D224" s="8">
        <v>1</v>
      </c>
      <c r="E224" s="8">
        <v>60.1</v>
      </c>
      <c r="F224" s="8">
        <v>170</v>
      </c>
      <c r="G224" s="8">
        <v>10.199999999999999</v>
      </c>
      <c r="H224" s="8">
        <v>4</v>
      </c>
      <c r="I224" s="8">
        <v>15</v>
      </c>
      <c r="J224" s="8">
        <v>54837120</v>
      </c>
      <c r="K224" s="8">
        <v>109</v>
      </c>
      <c r="L224" s="8">
        <v>1</v>
      </c>
      <c r="M224" s="8">
        <v>1</v>
      </c>
      <c r="N224" s="8">
        <v>8</v>
      </c>
      <c r="O224" s="8">
        <v>10</v>
      </c>
      <c r="P224" s="8"/>
      <c r="R224">
        <f t="shared" si="49"/>
        <v>1</v>
      </c>
      <c r="S224">
        <f t="shared" si="50"/>
        <v>0</v>
      </c>
      <c r="T224">
        <f t="shared" si="51"/>
        <v>0</v>
      </c>
      <c r="U224">
        <f t="shared" si="45"/>
        <v>60.1</v>
      </c>
      <c r="V224" t="str">
        <f t="shared" si="46"/>
        <v/>
      </c>
      <c r="W224" t="str">
        <f t="shared" si="47"/>
        <v/>
      </c>
      <c r="X224">
        <f t="shared" si="48"/>
        <v>1</v>
      </c>
    </row>
    <row r="225" spans="1:24" x14ac:dyDescent="0.25">
      <c r="A225" s="8">
        <v>27</v>
      </c>
      <c r="B225" s="8">
        <v>11</v>
      </c>
      <c r="C225" s="8">
        <v>100</v>
      </c>
      <c r="D225" s="8">
        <v>1</v>
      </c>
      <c r="E225" s="8">
        <v>28.7</v>
      </c>
      <c r="F225" s="8">
        <v>22</v>
      </c>
      <c r="G225" s="8">
        <v>4.5</v>
      </c>
      <c r="H225" s="8">
        <v>2</v>
      </c>
      <c r="I225" s="8">
        <v>6</v>
      </c>
      <c r="J225" s="8">
        <v>54837120</v>
      </c>
      <c r="K225" s="8">
        <v>3472</v>
      </c>
      <c r="L225" s="8">
        <v>17</v>
      </c>
      <c r="M225" s="8">
        <v>1</v>
      </c>
      <c r="N225" s="8">
        <v>6</v>
      </c>
      <c r="O225" s="8">
        <v>10</v>
      </c>
      <c r="P225" s="8"/>
      <c r="R225">
        <f t="shared" si="49"/>
        <v>1</v>
      </c>
      <c r="S225">
        <f t="shared" si="50"/>
        <v>0</v>
      </c>
      <c r="T225">
        <f t="shared" si="51"/>
        <v>0</v>
      </c>
      <c r="U225">
        <f t="shared" ref="U225:U288" si="52">IF(D225=1,E225,"")</f>
        <v>28.7</v>
      </c>
      <c r="V225" t="str">
        <f t="shared" ref="V225:V288" si="53">IF(D225=2,E225,"")</f>
        <v/>
      </c>
      <c r="W225" t="str">
        <f t="shared" ref="W225:W288" si="54">IF(D225=3,E225,"")</f>
        <v/>
      </c>
      <c r="X225">
        <f t="shared" si="48"/>
        <v>1</v>
      </c>
    </row>
    <row r="226" spans="1:24" x14ac:dyDescent="0.25">
      <c r="A226" s="8">
        <v>27</v>
      </c>
      <c r="B226" s="8">
        <v>12</v>
      </c>
      <c r="C226" s="8">
        <v>32</v>
      </c>
      <c r="D226" s="8">
        <v>1</v>
      </c>
      <c r="E226" s="8">
        <v>18.3</v>
      </c>
      <c r="F226" s="8">
        <v>86</v>
      </c>
      <c r="G226" s="8">
        <v>4.5</v>
      </c>
      <c r="H226" s="8">
        <v>2</v>
      </c>
      <c r="I226" s="8">
        <v>6</v>
      </c>
      <c r="J226" s="8">
        <v>54837120</v>
      </c>
      <c r="K226" s="8">
        <v>3</v>
      </c>
      <c r="L226" s="8">
        <v>1</v>
      </c>
      <c r="M226" s="8">
        <v>1</v>
      </c>
      <c r="N226" s="8">
        <v>2</v>
      </c>
      <c r="O226" s="8">
        <v>10</v>
      </c>
      <c r="P226" s="8"/>
      <c r="R226">
        <f t="shared" si="49"/>
        <v>1</v>
      </c>
      <c r="S226">
        <f t="shared" si="50"/>
        <v>0</v>
      </c>
      <c r="T226">
        <f t="shared" si="51"/>
        <v>0</v>
      </c>
      <c r="U226">
        <f t="shared" si="52"/>
        <v>18.3</v>
      </c>
      <c r="V226" t="str">
        <f t="shared" si="53"/>
        <v/>
      </c>
      <c r="W226" t="str">
        <f t="shared" si="54"/>
        <v/>
      </c>
      <c r="X226">
        <f t="shared" si="48"/>
        <v>1</v>
      </c>
    </row>
    <row r="227" spans="1:24" x14ac:dyDescent="0.25">
      <c r="A227" s="8">
        <v>27</v>
      </c>
      <c r="B227" s="8">
        <v>13</v>
      </c>
      <c r="C227" s="8">
        <v>37</v>
      </c>
      <c r="D227" s="8">
        <v>1</v>
      </c>
      <c r="E227" s="8">
        <v>53.1</v>
      </c>
      <c r="F227" s="8">
        <v>14</v>
      </c>
      <c r="G227" s="8">
        <v>6.7</v>
      </c>
      <c r="H227" s="8">
        <v>2</v>
      </c>
      <c r="I227" s="8">
        <v>9</v>
      </c>
      <c r="J227" s="8">
        <v>54837120</v>
      </c>
      <c r="K227" s="8">
        <v>84383</v>
      </c>
      <c r="L227" s="8">
        <v>4</v>
      </c>
      <c r="M227" s="8">
        <v>1</v>
      </c>
      <c r="N227" s="8">
        <v>6</v>
      </c>
      <c r="O227" s="8">
        <v>10</v>
      </c>
      <c r="P227" s="8"/>
      <c r="R227">
        <f t="shared" si="49"/>
        <v>1</v>
      </c>
      <c r="S227">
        <f t="shared" si="50"/>
        <v>0</v>
      </c>
      <c r="T227">
        <f t="shared" si="51"/>
        <v>0</v>
      </c>
      <c r="U227">
        <f t="shared" si="52"/>
        <v>53.1</v>
      </c>
      <c r="V227" t="str">
        <f t="shared" si="53"/>
        <v/>
      </c>
      <c r="W227" t="str">
        <f t="shared" si="54"/>
        <v/>
      </c>
      <c r="X227">
        <f t="shared" si="48"/>
        <v>1</v>
      </c>
    </row>
    <row r="228" spans="1:24" x14ac:dyDescent="0.25">
      <c r="A228" s="8">
        <v>27</v>
      </c>
      <c r="B228" s="8">
        <v>14</v>
      </c>
      <c r="C228" s="8">
        <v>100</v>
      </c>
      <c r="D228" s="8">
        <v>1</v>
      </c>
      <c r="E228" s="8">
        <v>23.6</v>
      </c>
      <c r="F228" s="8">
        <v>178</v>
      </c>
      <c r="G228" s="8">
        <v>6.6</v>
      </c>
      <c r="H228" s="8">
        <v>3</v>
      </c>
      <c r="I228" s="8">
        <v>10</v>
      </c>
      <c r="J228" s="8">
        <v>54837120</v>
      </c>
      <c r="K228" s="8">
        <v>5</v>
      </c>
      <c r="L228" s="8">
        <v>2</v>
      </c>
      <c r="M228" s="8">
        <v>1</v>
      </c>
      <c r="N228" s="8">
        <v>6</v>
      </c>
      <c r="O228" s="8">
        <v>10</v>
      </c>
      <c r="P228" s="8"/>
      <c r="R228">
        <f t="shared" si="49"/>
        <v>1</v>
      </c>
      <c r="S228">
        <f t="shared" si="50"/>
        <v>0</v>
      </c>
      <c r="T228">
        <f t="shared" si="51"/>
        <v>0</v>
      </c>
      <c r="U228">
        <f t="shared" si="52"/>
        <v>23.6</v>
      </c>
      <c r="V228" t="str">
        <f t="shared" si="53"/>
        <v/>
      </c>
      <c r="W228" t="str">
        <f t="shared" si="54"/>
        <v/>
      </c>
      <c r="X228">
        <f t="shared" si="48"/>
        <v>1</v>
      </c>
    </row>
    <row r="229" spans="1:24" x14ac:dyDescent="0.25">
      <c r="A229" s="8">
        <v>27</v>
      </c>
      <c r="B229" s="8">
        <v>15</v>
      </c>
      <c r="C229" s="8">
        <v>100</v>
      </c>
      <c r="D229" s="8">
        <v>1</v>
      </c>
      <c r="E229" s="8">
        <v>23.5</v>
      </c>
      <c r="F229" s="8">
        <v>394</v>
      </c>
      <c r="G229" s="8">
        <v>9.6999999999999993</v>
      </c>
      <c r="H229" s="8">
        <v>2</v>
      </c>
      <c r="I229" s="8">
        <v>14</v>
      </c>
      <c r="J229" s="8">
        <v>54837120</v>
      </c>
      <c r="K229" s="8">
        <v>2</v>
      </c>
      <c r="L229" s="8">
        <v>2</v>
      </c>
      <c r="M229" s="8">
        <v>1</v>
      </c>
      <c r="N229" s="8">
        <v>7</v>
      </c>
      <c r="O229" s="8">
        <v>10</v>
      </c>
      <c r="P229" s="8"/>
      <c r="R229">
        <f t="shared" si="49"/>
        <v>1</v>
      </c>
      <c r="S229">
        <f t="shared" si="50"/>
        <v>0</v>
      </c>
      <c r="T229">
        <f t="shared" si="51"/>
        <v>0</v>
      </c>
      <c r="U229">
        <f t="shared" si="52"/>
        <v>23.5</v>
      </c>
      <c r="V229" t="str">
        <f t="shared" si="53"/>
        <v/>
      </c>
      <c r="W229" t="str">
        <f t="shared" si="54"/>
        <v/>
      </c>
      <c r="X229">
        <f t="shared" si="48"/>
        <v>1</v>
      </c>
    </row>
    <row r="230" spans="1:24" x14ac:dyDescent="0.25">
      <c r="A230" s="8">
        <v>27</v>
      </c>
      <c r="B230" s="8">
        <v>16</v>
      </c>
      <c r="C230" s="8">
        <v>93</v>
      </c>
      <c r="D230" s="8">
        <v>1</v>
      </c>
      <c r="E230" s="8">
        <v>21.5</v>
      </c>
      <c r="F230" s="8">
        <v>139</v>
      </c>
      <c r="G230" s="8">
        <v>5.9</v>
      </c>
      <c r="H230" s="8">
        <v>2</v>
      </c>
      <c r="I230" s="8">
        <v>8</v>
      </c>
      <c r="J230" s="8">
        <v>54837120</v>
      </c>
      <c r="K230" s="8">
        <v>1</v>
      </c>
      <c r="L230" s="8">
        <v>1</v>
      </c>
      <c r="M230" s="8">
        <v>1</v>
      </c>
      <c r="N230" s="8">
        <v>6</v>
      </c>
      <c r="O230" s="8">
        <v>9</v>
      </c>
      <c r="P230" s="8"/>
      <c r="R230">
        <f t="shared" si="49"/>
        <v>1</v>
      </c>
      <c r="S230">
        <f t="shared" si="50"/>
        <v>0</v>
      </c>
      <c r="T230">
        <f t="shared" si="51"/>
        <v>0</v>
      </c>
      <c r="U230">
        <f t="shared" si="52"/>
        <v>21.5</v>
      </c>
      <c r="V230" t="str">
        <f t="shared" si="53"/>
        <v/>
      </c>
      <c r="W230" t="str">
        <f t="shared" si="54"/>
        <v/>
      </c>
      <c r="X230">
        <f t="shared" si="48"/>
        <v>1</v>
      </c>
    </row>
    <row r="231" spans="1:24" x14ac:dyDescent="0.25">
      <c r="A231" s="8">
        <v>27</v>
      </c>
      <c r="B231" s="8">
        <v>17</v>
      </c>
      <c r="C231" s="8">
        <v>100</v>
      </c>
      <c r="D231" s="8">
        <v>1</v>
      </c>
      <c r="E231" s="8">
        <v>46</v>
      </c>
      <c r="F231" s="8">
        <v>717</v>
      </c>
      <c r="G231" s="8">
        <v>9.9</v>
      </c>
      <c r="H231" s="8">
        <v>2</v>
      </c>
      <c r="I231" s="8">
        <v>14</v>
      </c>
      <c r="J231" s="8">
        <v>54837120</v>
      </c>
      <c r="K231" s="8">
        <v>2</v>
      </c>
      <c r="L231" s="8">
        <v>2</v>
      </c>
      <c r="M231" s="8">
        <v>1</v>
      </c>
      <c r="N231" s="8">
        <v>8</v>
      </c>
      <c r="O231" s="8">
        <v>10</v>
      </c>
      <c r="P231" s="8"/>
      <c r="R231">
        <f t="shared" si="49"/>
        <v>1</v>
      </c>
      <c r="S231">
        <f t="shared" si="50"/>
        <v>0</v>
      </c>
      <c r="T231">
        <f t="shared" si="51"/>
        <v>0</v>
      </c>
      <c r="U231">
        <f t="shared" si="52"/>
        <v>46</v>
      </c>
      <c r="V231" t="str">
        <f t="shared" si="53"/>
        <v/>
      </c>
      <c r="W231" t="str">
        <f t="shared" si="54"/>
        <v/>
      </c>
      <c r="X231">
        <f t="shared" si="48"/>
        <v>1</v>
      </c>
    </row>
    <row r="232" spans="1:24" x14ac:dyDescent="0.25">
      <c r="A232" s="8">
        <v>27</v>
      </c>
      <c r="B232" s="8">
        <v>18</v>
      </c>
      <c r="C232" s="8">
        <v>100</v>
      </c>
      <c r="D232" s="8">
        <v>1</v>
      </c>
      <c r="E232" s="8">
        <v>25.6</v>
      </c>
      <c r="F232" s="8">
        <v>170</v>
      </c>
      <c r="G232" s="8">
        <v>9</v>
      </c>
      <c r="H232" s="8">
        <v>3</v>
      </c>
      <c r="I232" s="8">
        <v>12</v>
      </c>
      <c r="J232" s="8">
        <v>54837120</v>
      </c>
      <c r="K232" s="8">
        <v>3</v>
      </c>
      <c r="L232" s="8">
        <v>2</v>
      </c>
      <c r="M232" s="8">
        <v>2</v>
      </c>
      <c r="N232" s="8">
        <v>10</v>
      </c>
      <c r="O232" s="8">
        <v>10</v>
      </c>
      <c r="P232" s="8"/>
      <c r="R232">
        <f t="shared" si="49"/>
        <v>1</v>
      </c>
      <c r="S232">
        <f t="shared" si="50"/>
        <v>0</v>
      </c>
      <c r="T232">
        <f t="shared" si="51"/>
        <v>0</v>
      </c>
      <c r="U232">
        <f t="shared" si="52"/>
        <v>25.6</v>
      </c>
      <c r="V232" t="str">
        <f t="shared" si="53"/>
        <v/>
      </c>
      <c r="W232" t="str">
        <f t="shared" si="54"/>
        <v/>
      </c>
      <c r="X232">
        <f t="shared" si="48"/>
        <v>1</v>
      </c>
    </row>
    <row r="233" spans="1:24" x14ac:dyDescent="0.25">
      <c r="A233" s="8">
        <v>27</v>
      </c>
      <c r="B233" s="8">
        <v>19</v>
      </c>
      <c r="C233" s="8">
        <v>100</v>
      </c>
      <c r="D233" s="8">
        <v>2</v>
      </c>
      <c r="E233" s="8">
        <v>44.9</v>
      </c>
      <c r="F233" s="8">
        <v>59</v>
      </c>
      <c r="G233" s="8">
        <v>4.5</v>
      </c>
      <c r="H233" s="8">
        <v>2</v>
      </c>
      <c r="I233" s="8">
        <v>6</v>
      </c>
      <c r="J233" s="8">
        <v>109674240</v>
      </c>
      <c r="K233" s="8">
        <v>6</v>
      </c>
      <c r="L233" s="8">
        <v>6</v>
      </c>
      <c r="M233" s="8">
        <v>1</v>
      </c>
      <c r="N233" s="8">
        <v>7</v>
      </c>
      <c r="O233" s="8">
        <v>10</v>
      </c>
      <c r="P233" s="8"/>
      <c r="R233">
        <f t="shared" si="49"/>
        <v>0</v>
      </c>
      <c r="S233">
        <f t="shared" si="50"/>
        <v>1</v>
      </c>
      <c r="T233">
        <f t="shared" si="51"/>
        <v>0</v>
      </c>
      <c r="U233" t="str">
        <f t="shared" si="52"/>
        <v/>
      </c>
      <c r="V233">
        <f t="shared" si="53"/>
        <v>44.9</v>
      </c>
      <c r="W233" t="str">
        <f t="shared" si="54"/>
        <v/>
      </c>
      <c r="X233">
        <f t="shared" si="48"/>
        <v>1</v>
      </c>
    </row>
    <row r="234" spans="1:24" x14ac:dyDescent="0.25">
      <c r="A234" s="8">
        <v>27</v>
      </c>
      <c r="B234" s="8">
        <v>20</v>
      </c>
      <c r="C234" s="8">
        <v>100</v>
      </c>
      <c r="D234" s="8">
        <v>1</v>
      </c>
      <c r="E234" s="8">
        <v>43.8</v>
      </c>
      <c r="F234" s="8">
        <v>284</v>
      </c>
      <c r="G234" s="8">
        <v>10.3</v>
      </c>
      <c r="H234" s="8">
        <v>2</v>
      </c>
      <c r="I234" s="8">
        <v>15</v>
      </c>
      <c r="J234" s="8">
        <v>54837120</v>
      </c>
      <c r="K234" s="8">
        <v>9</v>
      </c>
      <c r="L234" s="8">
        <v>3</v>
      </c>
      <c r="M234" s="8">
        <v>2</v>
      </c>
      <c r="N234" s="8">
        <v>8</v>
      </c>
      <c r="O234" s="8">
        <v>10</v>
      </c>
      <c r="P234" s="8"/>
      <c r="R234">
        <f t="shared" si="49"/>
        <v>1</v>
      </c>
      <c r="S234">
        <f t="shared" si="50"/>
        <v>0</v>
      </c>
      <c r="T234">
        <f t="shared" si="51"/>
        <v>0</v>
      </c>
      <c r="U234">
        <f t="shared" si="52"/>
        <v>43.8</v>
      </c>
      <c r="V234" t="str">
        <f t="shared" si="53"/>
        <v/>
      </c>
      <c r="W234" t="str">
        <f t="shared" si="54"/>
        <v/>
      </c>
      <c r="X234">
        <f t="shared" si="48"/>
        <v>1</v>
      </c>
    </row>
    <row r="235" spans="1:24" x14ac:dyDescent="0.25">
      <c r="A235" s="8">
        <v>27</v>
      </c>
      <c r="B235" s="8">
        <v>21</v>
      </c>
      <c r="C235" s="8">
        <v>59</v>
      </c>
      <c r="D235" s="8">
        <v>1</v>
      </c>
      <c r="E235" s="8">
        <v>15.2</v>
      </c>
      <c r="F235" s="8">
        <v>173</v>
      </c>
      <c r="G235" s="8">
        <v>5.5</v>
      </c>
      <c r="H235" s="8">
        <v>3</v>
      </c>
      <c r="I235" s="8">
        <v>8</v>
      </c>
      <c r="J235" s="8">
        <v>54837120</v>
      </c>
      <c r="K235" s="8">
        <v>2</v>
      </c>
      <c r="L235" s="8">
        <v>2</v>
      </c>
      <c r="M235" s="8">
        <v>2</v>
      </c>
      <c r="N235" s="8">
        <v>7</v>
      </c>
      <c r="O235" s="8">
        <v>10</v>
      </c>
      <c r="P235" s="8"/>
      <c r="R235">
        <f t="shared" si="49"/>
        <v>1</v>
      </c>
      <c r="S235">
        <f t="shared" si="50"/>
        <v>0</v>
      </c>
      <c r="T235">
        <f t="shared" si="51"/>
        <v>0</v>
      </c>
      <c r="U235">
        <f t="shared" si="52"/>
        <v>15.2</v>
      </c>
      <c r="V235" t="str">
        <f t="shared" si="53"/>
        <v/>
      </c>
      <c r="W235" t="str">
        <f t="shared" si="54"/>
        <v/>
      </c>
      <c r="X235">
        <f t="shared" si="48"/>
        <v>1</v>
      </c>
    </row>
    <row r="236" spans="1:24" x14ac:dyDescent="0.25">
      <c r="A236" s="8">
        <v>27</v>
      </c>
      <c r="B236" s="8">
        <v>22</v>
      </c>
      <c r="C236" s="8">
        <v>100</v>
      </c>
      <c r="D236" s="8">
        <v>2</v>
      </c>
      <c r="E236" s="8">
        <v>28.6</v>
      </c>
      <c r="F236" s="8">
        <v>75</v>
      </c>
      <c r="G236" s="8">
        <v>4.9000000000000004</v>
      </c>
      <c r="H236" s="8">
        <v>2</v>
      </c>
      <c r="I236" s="8">
        <v>7</v>
      </c>
      <c r="J236" s="8">
        <v>109674240</v>
      </c>
      <c r="K236" s="8">
        <v>1</v>
      </c>
      <c r="L236" s="8">
        <v>1</v>
      </c>
      <c r="M236" s="8">
        <v>1</v>
      </c>
      <c r="N236" s="8">
        <v>6</v>
      </c>
      <c r="O236" s="8">
        <v>10</v>
      </c>
      <c r="P236" s="8"/>
      <c r="R236">
        <f t="shared" si="49"/>
        <v>0</v>
      </c>
      <c r="S236">
        <f t="shared" si="50"/>
        <v>1</v>
      </c>
      <c r="T236">
        <f t="shared" si="51"/>
        <v>0</v>
      </c>
      <c r="U236" t="str">
        <f t="shared" si="52"/>
        <v/>
      </c>
      <c r="V236">
        <f t="shared" si="53"/>
        <v>28.6</v>
      </c>
      <c r="W236" t="str">
        <f t="shared" si="54"/>
        <v/>
      </c>
      <c r="X236">
        <f t="shared" si="48"/>
        <v>1</v>
      </c>
    </row>
    <row r="237" spans="1:24" x14ac:dyDescent="0.25">
      <c r="A237" s="8">
        <v>27</v>
      </c>
      <c r="B237" s="8">
        <v>23</v>
      </c>
      <c r="C237" s="8">
        <v>100</v>
      </c>
      <c r="D237" s="8">
        <v>1</v>
      </c>
      <c r="E237" s="8">
        <v>40.9</v>
      </c>
      <c r="F237" s="8">
        <v>220</v>
      </c>
      <c r="G237" s="8">
        <v>8.6999999999999993</v>
      </c>
      <c r="H237" s="8">
        <v>2</v>
      </c>
      <c r="I237" s="8">
        <v>12</v>
      </c>
      <c r="J237" s="8">
        <v>54837120</v>
      </c>
      <c r="K237" s="8">
        <v>13</v>
      </c>
      <c r="L237" s="8">
        <v>2</v>
      </c>
      <c r="M237" s="8">
        <v>2</v>
      </c>
      <c r="N237" s="8">
        <v>8</v>
      </c>
      <c r="O237" s="8">
        <v>10</v>
      </c>
      <c r="P237" s="8"/>
      <c r="R237">
        <f t="shared" si="49"/>
        <v>1</v>
      </c>
      <c r="S237">
        <f t="shared" si="50"/>
        <v>0</v>
      </c>
      <c r="T237">
        <f t="shared" si="51"/>
        <v>0</v>
      </c>
      <c r="U237">
        <f t="shared" si="52"/>
        <v>40.9</v>
      </c>
      <c r="V237" t="str">
        <f t="shared" si="53"/>
        <v/>
      </c>
      <c r="W237" t="str">
        <f t="shared" si="54"/>
        <v/>
      </c>
      <c r="X237">
        <f t="shared" si="48"/>
        <v>1</v>
      </c>
    </row>
    <row r="238" spans="1:24" x14ac:dyDescent="0.25">
      <c r="A238" s="8">
        <v>27</v>
      </c>
      <c r="B238" s="8">
        <v>24</v>
      </c>
      <c r="C238" s="8">
        <v>81</v>
      </c>
      <c r="D238" s="8">
        <v>1</v>
      </c>
      <c r="E238" s="8">
        <v>21.4</v>
      </c>
      <c r="F238" s="8">
        <v>382</v>
      </c>
      <c r="G238" s="8">
        <v>8.6</v>
      </c>
      <c r="H238" s="8">
        <v>2</v>
      </c>
      <c r="I238" s="8">
        <v>12</v>
      </c>
      <c r="J238" s="8">
        <v>54837120</v>
      </c>
      <c r="K238" s="8">
        <v>1</v>
      </c>
      <c r="L238" s="8">
        <v>1</v>
      </c>
      <c r="M238" s="8">
        <v>1</v>
      </c>
      <c r="N238" s="8">
        <v>9</v>
      </c>
      <c r="O238" s="8">
        <v>10</v>
      </c>
      <c r="P238" s="8"/>
      <c r="R238">
        <f t="shared" si="49"/>
        <v>1</v>
      </c>
      <c r="S238">
        <f t="shared" si="50"/>
        <v>0</v>
      </c>
      <c r="T238">
        <f t="shared" si="51"/>
        <v>0</v>
      </c>
      <c r="U238">
        <f t="shared" si="52"/>
        <v>21.4</v>
      </c>
      <c r="V238" t="str">
        <f t="shared" si="53"/>
        <v/>
      </c>
      <c r="W238" t="str">
        <f t="shared" si="54"/>
        <v/>
      </c>
      <c r="X238">
        <f t="shared" si="48"/>
        <v>1</v>
      </c>
    </row>
    <row r="239" spans="1:24" x14ac:dyDescent="0.25">
      <c r="A239" s="8">
        <v>27</v>
      </c>
      <c r="B239" s="8">
        <v>25</v>
      </c>
      <c r="C239" s="8">
        <v>0</v>
      </c>
      <c r="D239" s="8">
        <v>3</v>
      </c>
      <c r="E239" s="8">
        <v>15380.3</v>
      </c>
      <c r="F239" s="8">
        <v>10</v>
      </c>
      <c r="G239" s="8">
        <v>2.8</v>
      </c>
      <c r="H239" s="8">
        <v>2</v>
      </c>
      <c r="I239" s="8">
        <v>4</v>
      </c>
      <c r="J239" s="8">
        <v>1535439360</v>
      </c>
      <c r="K239" s="8">
        <v>523344029</v>
      </c>
      <c r="L239" s="8">
        <v>292536807</v>
      </c>
      <c r="M239" s="8">
        <v>0</v>
      </c>
      <c r="N239" s="8">
        <v>0</v>
      </c>
      <c r="O239" s="8">
        <v>0</v>
      </c>
      <c r="P239" s="8"/>
      <c r="R239">
        <f t="shared" si="49"/>
        <v>0</v>
      </c>
      <c r="S239">
        <f t="shared" si="50"/>
        <v>0</v>
      </c>
      <c r="T239">
        <f t="shared" si="51"/>
        <v>1</v>
      </c>
      <c r="U239" t="str">
        <f t="shared" si="52"/>
        <v/>
      </c>
      <c r="V239" t="str">
        <f t="shared" si="53"/>
        <v/>
      </c>
      <c r="W239">
        <f t="shared" si="54"/>
        <v>15380.3</v>
      </c>
      <c r="X239">
        <f t="shared" si="48"/>
        <v>0</v>
      </c>
    </row>
    <row r="240" spans="1:24" x14ac:dyDescent="0.25">
      <c r="A240" s="8">
        <v>27</v>
      </c>
      <c r="B240" s="8">
        <v>26</v>
      </c>
      <c r="C240" s="8">
        <v>100</v>
      </c>
      <c r="D240" s="8">
        <v>1</v>
      </c>
      <c r="E240" s="8">
        <v>25.5</v>
      </c>
      <c r="F240" s="8">
        <v>98</v>
      </c>
      <c r="G240" s="8">
        <v>6.8</v>
      </c>
      <c r="H240" s="8">
        <v>3</v>
      </c>
      <c r="I240" s="8">
        <v>9</v>
      </c>
      <c r="J240" s="8">
        <v>54837120</v>
      </c>
      <c r="K240" s="8">
        <v>4</v>
      </c>
      <c r="L240" s="8">
        <v>1</v>
      </c>
      <c r="M240" s="8">
        <v>1</v>
      </c>
      <c r="N240" s="8">
        <v>8</v>
      </c>
      <c r="O240" s="8">
        <v>10</v>
      </c>
      <c r="P240" s="8"/>
      <c r="R240">
        <f t="shared" si="49"/>
        <v>1</v>
      </c>
      <c r="S240">
        <f t="shared" si="50"/>
        <v>0</v>
      </c>
      <c r="T240">
        <f t="shared" si="51"/>
        <v>0</v>
      </c>
      <c r="U240">
        <f t="shared" si="52"/>
        <v>25.5</v>
      </c>
      <c r="V240" t="str">
        <f t="shared" si="53"/>
        <v/>
      </c>
      <c r="W240" t="str">
        <f t="shared" si="54"/>
        <v/>
      </c>
      <c r="X240">
        <f t="shared" si="48"/>
        <v>1</v>
      </c>
    </row>
    <row r="241" spans="1:24" x14ac:dyDescent="0.25">
      <c r="A241" s="8">
        <v>27</v>
      </c>
      <c r="B241" s="8">
        <v>27</v>
      </c>
      <c r="C241" s="8">
        <v>63</v>
      </c>
      <c r="D241" s="8">
        <v>1</v>
      </c>
      <c r="E241" s="8">
        <v>47.1</v>
      </c>
      <c r="F241" s="8">
        <v>670</v>
      </c>
      <c r="G241" s="8">
        <v>8.6999999999999993</v>
      </c>
      <c r="H241" s="8">
        <v>3</v>
      </c>
      <c r="I241" s="8">
        <v>13</v>
      </c>
      <c r="J241" s="8">
        <v>54837120</v>
      </c>
      <c r="K241" s="8">
        <v>2</v>
      </c>
      <c r="L241" s="8">
        <v>2</v>
      </c>
      <c r="M241" s="8">
        <v>1</v>
      </c>
      <c r="N241" s="8">
        <v>7</v>
      </c>
      <c r="O241" s="8">
        <v>9</v>
      </c>
      <c r="P241" s="8"/>
      <c r="R241">
        <f t="shared" si="49"/>
        <v>1</v>
      </c>
      <c r="S241">
        <f t="shared" si="50"/>
        <v>0</v>
      </c>
      <c r="T241">
        <f t="shared" si="51"/>
        <v>0</v>
      </c>
      <c r="U241">
        <f t="shared" si="52"/>
        <v>47.1</v>
      </c>
      <c r="V241" t="str">
        <f t="shared" si="53"/>
        <v/>
      </c>
      <c r="W241" t="str">
        <f t="shared" si="54"/>
        <v/>
      </c>
      <c r="X241">
        <f t="shared" si="48"/>
        <v>1</v>
      </c>
    </row>
    <row r="242" spans="1:24" x14ac:dyDescent="0.25">
      <c r="A242" s="8">
        <v>27</v>
      </c>
      <c r="B242" s="8">
        <v>28</v>
      </c>
      <c r="C242" s="8">
        <v>90</v>
      </c>
      <c r="D242" s="8">
        <v>1</v>
      </c>
      <c r="E242" s="8">
        <v>18.3</v>
      </c>
      <c r="F242" s="8">
        <v>81</v>
      </c>
      <c r="G242" s="8">
        <v>5.4</v>
      </c>
      <c r="H242" s="8">
        <v>2</v>
      </c>
      <c r="I242" s="8">
        <v>7</v>
      </c>
      <c r="J242" s="8">
        <v>54837120</v>
      </c>
      <c r="K242" s="8">
        <v>2</v>
      </c>
      <c r="L242" s="8">
        <v>1</v>
      </c>
      <c r="M242" s="8">
        <v>1</v>
      </c>
      <c r="N242" s="8">
        <v>6</v>
      </c>
      <c r="O242" s="8">
        <v>10</v>
      </c>
      <c r="P242" s="8"/>
      <c r="R242">
        <f t="shared" si="49"/>
        <v>1</v>
      </c>
      <c r="S242">
        <f t="shared" si="50"/>
        <v>0</v>
      </c>
      <c r="T242">
        <f t="shared" si="51"/>
        <v>0</v>
      </c>
      <c r="U242">
        <f t="shared" si="52"/>
        <v>18.3</v>
      </c>
      <c r="V242" t="str">
        <f t="shared" si="53"/>
        <v/>
      </c>
      <c r="W242" t="str">
        <f t="shared" si="54"/>
        <v/>
      </c>
      <c r="X242">
        <f t="shared" si="48"/>
        <v>1</v>
      </c>
    </row>
    <row r="243" spans="1:24" x14ac:dyDescent="0.25">
      <c r="A243" s="8">
        <v>27</v>
      </c>
      <c r="B243" s="8">
        <v>29</v>
      </c>
      <c r="C243" s="8">
        <v>91</v>
      </c>
      <c r="D243" s="8">
        <v>1</v>
      </c>
      <c r="E243" s="8">
        <v>31.7</v>
      </c>
      <c r="F243" s="8">
        <v>280</v>
      </c>
      <c r="G243" s="8">
        <v>8</v>
      </c>
      <c r="H243" s="8">
        <v>4</v>
      </c>
      <c r="I243" s="8">
        <v>11</v>
      </c>
      <c r="J243" s="8">
        <v>54837120</v>
      </c>
      <c r="K243" s="8">
        <v>5</v>
      </c>
      <c r="L243" s="8">
        <v>3</v>
      </c>
      <c r="M243" s="8">
        <v>2</v>
      </c>
      <c r="N243" s="8">
        <v>6</v>
      </c>
      <c r="O243" s="8">
        <v>10</v>
      </c>
      <c r="P243" s="8"/>
      <c r="R243">
        <f t="shared" si="49"/>
        <v>1</v>
      </c>
      <c r="S243">
        <f t="shared" si="50"/>
        <v>0</v>
      </c>
      <c r="T243">
        <f t="shared" si="51"/>
        <v>0</v>
      </c>
      <c r="U243">
        <f t="shared" si="52"/>
        <v>31.7</v>
      </c>
      <c r="V243" t="str">
        <f t="shared" si="53"/>
        <v/>
      </c>
      <c r="W243" t="str">
        <f t="shared" si="54"/>
        <v/>
      </c>
      <c r="X243">
        <f t="shared" si="48"/>
        <v>1</v>
      </c>
    </row>
    <row r="244" spans="1:24" x14ac:dyDescent="0.25">
      <c r="A244" s="8">
        <v>28</v>
      </c>
      <c r="B244" s="8">
        <v>0</v>
      </c>
      <c r="C244" s="8">
        <v>100</v>
      </c>
      <c r="D244" s="8">
        <v>1</v>
      </c>
      <c r="E244" s="8">
        <v>39.799999999999997</v>
      </c>
      <c r="F244" s="8">
        <v>147</v>
      </c>
      <c r="G244" s="8">
        <v>8</v>
      </c>
      <c r="H244" s="8">
        <v>3</v>
      </c>
      <c r="I244" s="8">
        <v>11</v>
      </c>
      <c r="J244" s="8">
        <v>54837120</v>
      </c>
      <c r="K244" s="8">
        <v>105</v>
      </c>
      <c r="L244" s="8">
        <v>5</v>
      </c>
      <c r="M244" s="8">
        <v>3</v>
      </c>
      <c r="N244" s="8">
        <v>7</v>
      </c>
      <c r="O244" s="8">
        <v>10</v>
      </c>
      <c r="P244" s="8"/>
      <c r="R244">
        <f t="shared" si="49"/>
        <v>1</v>
      </c>
      <c r="S244">
        <f t="shared" si="50"/>
        <v>0</v>
      </c>
      <c r="T244">
        <f t="shared" si="51"/>
        <v>0</v>
      </c>
      <c r="U244">
        <f t="shared" si="52"/>
        <v>39.799999999999997</v>
      </c>
      <c r="V244" t="str">
        <f t="shared" si="53"/>
        <v/>
      </c>
      <c r="W244" t="str">
        <f t="shared" si="54"/>
        <v/>
      </c>
      <c r="X244">
        <f t="shared" si="48"/>
        <v>1</v>
      </c>
    </row>
    <row r="245" spans="1:24" x14ac:dyDescent="0.25">
      <c r="A245" s="8">
        <v>28</v>
      </c>
      <c r="B245" s="8">
        <v>1</v>
      </c>
      <c r="C245" s="8">
        <v>53</v>
      </c>
      <c r="D245" s="8">
        <v>1</v>
      </c>
      <c r="E245" s="8">
        <v>31.8</v>
      </c>
      <c r="F245" s="8">
        <v>1250</v>
      </c>
      <c r="G245" s="8">
        <v>10.3</v>
      </c>
      <c r="H245" s="8">
        <v>3</v>
      </c>
      <c r="I245" s="8">
        <v>14</v>
      </c>
      <c r="J245" s="8">
        <v>54837120</v>
      </c>
      <c r="K245" s="8">
        <v>1</v>
      </c>
      <c r="L245" s="8">
        <v>1</v>
      </c>
      <c r="M245" s="8">
        <v>1</v>
      </c>
      <c r="N245" s="8">
        <v>8</v>
      </c>
      <c r="O245" s="8">
        <v>9</v>
      </c>
      <c r="P245" s="8"/>
      <c r="R245">
        <f t="shared" si="49"/>
        <v>1</v>
      </c>
      <c r="S245">
        <f t="shared" si="50"/>
        <v>0</v>
      </c>
      <c r="T245">
        <f t="shared" si="51"/>
        <v>0</v>
      </c>
      <c r="U245">
        <f t="shared" si="52"/>
        <v>31.8</v>
      </c>
      <c r="V245" t="str">
        <f t="shared" si="53"/>
        <v/>
      </c>
      <c r="W245" t="str">
        <f t="shared" si="54"/>
        <v/>
      </c>
      <c r="X245">
        <f t="shared" si="48"/>
        <v>1</v>
      </c>
    </row>
    <row r="246" spans="1:24" x14ac:dyDescent="0.25">
      <c r="A246" s="8">
        <v>28</v>
      </c>
      <c r="B246" s="8">
        <v>2</v>
      </c>
      <c r="C246" s="8">
        <v>93</v>
      </c>
      <c r="D246" s="8">
        <v>1</v>
      </c>
      <c r="E246" s="8">
        <v>37.799999999999997</v>
      </c>
      <c r="F246" s="8">
        <v>632</v>
      </c>
      <c r="G246" s="8">
        <v>7.1</v>
      </c>
      <c r="H246" s="8">
        <v>2</v>
      </c>
      <c r="I246" s="8">
        <v>10</v>
      </c>
      <c r="J246" s="8">
        <v>54837120</v>
      </c>
      <c r="K246" s="8">
        <v>3</v>
      </c>
      <c r="L246" s="8">
        <v>3</v>
      </c>
      <c r="M246" s="8">
        <v>2</v>
      </c>
      <c r="N246" s="8">
        <v>7</v>
      </c>
      <c r="O246" s="8">
        <v>9</v>
      </c>
      <c r="P246" s="8"/>
      <c r="R246">
        <f t="shared" si="49"/>
        <v>1</v>
      </c>
      <c r="S246">
        <f t="shared" si="50"/>
        <v>0</v>
      </c>
      <c r="T246">
        <f t="shared" si="51"/>
        <v>0</v>
      </c>
      <c r="U246">
        <f t="shared" si="52"/>
        <v>37.799999999999997</v>
      </c>
      <c r="V246" t="str">
        <f t="shared" si="53"/>
        <v/>
      </c>
      <c r="W246" t="str">
        <f t="shared" si="54"/>
        <v/>
      </c>
      <c r="X246">
        <f t="shared" si="48"/>
        <v>1</v>
      </c>
    </row>
    <row r="247" spans="1:24" x14ac:dyDescent="0.25">
      <c r="A247" s="8">
        <v>28</v>
      </c>
      <c r="B247" s="8">
        <v>3</v>
      </c>
      <c r="C247" s="8">
        <v>100</v>
      </c>
      <c r="D247" s="8">
        <v>1</v>
      </c>
      <c r="E247" s="8">
        <v>34.9</v>
      </c>
      <c r="F247" s="8">
        <v>120</v>
      </c>
      <c r="G247" s="8">
        <v>5.0999999999999996</v>
      </c>
      <c r="H247" s="8">
        <v>2</v>
      </c>
      <c r="I247" s="8">
        <v>6</v>
      </c>
      <c r="J247" s="8">
        <v>54837120</v>
      </c>
      <c r="K247" s="8">
        <v>3</v>
      </c>
      <c r="L247" s="8">
        <v>3</v>
      </c>
      <c r="M247" s="8">
        <v>2</v>
      </c>
      <c r="N247" s="8">
        <v>6</v>
      </c>
      <c r="O247" s="8">
        <v>10</v>
      </c>
      <c r="P247" s="8"/>
      <c r="R247">
        <f t="shared" si="49"/>
        <v>1</v>
      </c>
      <c r="S247">
        <f t="shared" si="50"/>
        <v>0</v>
      </c>
      <c r="T247">
        <f t="shared" si="51"/>
        <v>0</v>
      </c>
      <c r="U247">
        <f t="shared" si="52"/>
        <v>34.9</v>
      </c>
      <c r="V247" t="str">
        <f t="shared" si="53"/>
        <v/>
      </c>
      <c r="W247" t="str">
        <f t="shared" si="54"/>
        <v/>
      </c>
      <c r="X247">
        <f t="shared" si="48"/>
        <v>1</v>
      </c>
    </row>
    <row r="248" spans="1:24" x14ac:dyDescent="0.25">
      <c r="A248" s="8">
        <v>28</v>
      </c>
      <c r="B248" s="8">
        <v>4</v>
      </c>
      <c r="C248" s="8">
        <v>94</v>
      </c>
      <c r="D248" s="8">
        <v>1</v>
      </c>
      <c r="E248" s="8">
        <v>40</v>
      </c>
      <c r="F248" s="8">
        <v>68</v>
      </c>
      <c r="G248" s="8">
        <v>7</v>
      </c>
      <c r="H248" s="8">
        <v>2</v>
      </c>
      <c r="I248" s="8">
        <v>9</v>
      </c>
      <c r="J248" s="8">
        <v>54837120</v>
      </c>
      <c r="K248" s="8">
        <v>126</v>
      </c>
      <c r="L248" s="8">
        <v>8</v>
      </c>
      <c r="M248" s="8">
        <v>2</v>
      </c>
      <c r="N248" s="8">
        <v>5</v>
      </c>
      <c r="O248" s="8">
        <v>9</v>
      </c>
      <c r="P248" s="8"/>
      <c r="R248">
        <f t="shared" si="49"/>
        <v>1</v>
      </c>
      <c r="S248">
        <f t="shared" si="50"/>
        <v>0</v>
      </c>
      <c r="T248">
        <f t="shared" si="51"/>
        <v>0</v>
      </c>
      <c r="U248">
        <f t="shared" si="52"/>
        <v>40</v>
      </c>
      <c r="V248" t="str">
        <f t="shared" si="53"/>
        <v/>
      </c>
      <c r="W248" t="str">
        <f t="shared" si="54"/>
        <v/>
      </c>
      <c r="X248">
        <f t="shared" si="48"/>
        <v>1</v>
      </c>
    </row>
    <row r="249" spans="1:24" x14ac:dyDescent="0.25">
      <c r="A249" s="8">
        <v>28</v>
      </c>
      <c r="B249" s="8">
        <v>5</v>
      </c>
      <c r="C249" s="8">
        <v>100</v>
      </c>
      <c r="D249" s="8">
        <v>1</v>
      </c>
      <c r="E249" s="8">
        <v>21.4</v>
      </c>
      <c r="F249" s="8">
        <v>453</v>
      </c>
      <c r="G249" s="8">
        <v>8.1999999999999993</v>
      </c>
      <c r="H249" s="8">
        <v>3</v>
      </c>
      <c r="I249" s="8">
        <v>12</v>
      </c>
      <c r="J249" s="8">
        <v>54837120</v>
      </c>
      <c r="K249" s="8">
        <v>2</v>
      </c>
      <c r="L249" s="8">
        <v>2</v>
      </c>
      <c r="M249" s="8">
        <v>1</v>
      </c>
      <c r="N249" s="8">
        <v>9</v>
      </c>
      <c r="O249" s="8">
        <v>10</v>
      </c>
      <c r="P249" s="8"/>
      <c r="R249">
        <f t="shared" si="49"/>
        <v>1</v>
      </c>
      <c r="S249">
        <f t="shared" si="50"/>
        <v>0</v>
      </c>
      <c r="T249">
        <f t="shared" si="51"/>
        <v>0</v>
      </c>
      <c r="U249">
        <f t="shared" si="52"/>
        <v>21.4</v>
      </c>
      <c r="V249" t="str">
        <f t="shared" si="53"/>
        <v/>
      </c>
      <c r="W249" t="str">
        <f t="shared" si="54"/>
        <v/>
      </c>
      <c r="X249">
        <f t="shared" si="48"/>
        <v>1</v>
      </c>
    </row>
    <row r="250" spans="1:24" x14ac:dyDescent="0.25">
      <c r="A250" s="8">
        <v>28</v>
      </c>
      <c r="B250" s="8">
        <v>6</v>
      </c>
      <c r="C250" s="8">
        <v>91</v>
      </c>
      <c r="D250" s="8">
        <v>1</v>
      </c>
      <c r="E250" s="8">
        <v>36.700000000000003</v>
      </c>
      <c r="F250" s="8">
        <v>362</v>
      </c>
      <c r="G250" s="8">
        <v>8</v>
      </c>
      <c r="H250" s="8">
        <v>2</v>
      </c>
      <c r="I250" s="8">
        <v>12</v>
      </c>
      <c r="J250" s="8">
        <v>54837120</v>
      </c>
      <c r="K250" s="8">
        <v>1</v>
      </c>
      <c r="L250" s="8">
        <v>1</v>
      </c>
      <c r="M250" s="8">
        <v>1</v>
      </c>
      <c r="N250" s="8">
        <v>9</v>
      </c>
      <c r="O250" s="8">
        <v>9</v>
      </c>
      <c r="P250" s="8"/>
      <c r="R250">
        <f t="shared" si="49"/>
        <v>1</v>
      </c>
      <c r="S250">
        <f t="shared" si="50"/>
        <v>0</v>
      </c>
      <c r="T250">
        <f t="shared" si="51"/>
        <v>0</v>
      </c>
      <c r="U250">
        <f t="shared" si="52"/>
        <v>36.700000000000003</v>
      </c>
      <c r="V250" t="str">
        <f t="shared" si="53"/>
        <v/>
      </c>
      <c r="W250" t="str">
        <f t="shared" si="54"/>
        <v/>
      </c>
      <c r="X250">
        <f t="shared" si="48"/>
        <v>1</v>
      </c>
    </row>
    <row r="251" spans="1:24" x14ac:dyDescent="0.25">
      <c r="A251" s="8">
        <v>28</v>
      </c>
      <c r="B251" s="8">
        <v>7</v>
      </c>
      <c r="C251" s="8">
        <v>100</v>
      </c>
      <c r="D251" s="8">
        <v>1</v>
      </c>
      <c r="E251" s="8">
        <v>29.6</v>
      </c>
      <c r="F251" s="8">
        <v>18</v>
      </c>
      <c r="G251" s="8">
        <v>4.0999999999999996</v>
      </c>
      <c r="H251" s="8">
        <v>2</v>
      </c>
      <c r="I251" s="8">
        <v>5</v>
      </c>
      <c r="J251" s="8">
        <v>54837120</v>
      </c>
      <c r="K251" s="8">
        <v>2025163</v>
      </c>
      <c r="L251" s="8">
        <v>371150</v>
      </c>
      <c r="M251" s="8">
        <v>1</v>
      </c>
      <c r="N251" s="8">
        <v>5</v>
      </c>
      <c r="O251" s="8">
        <v>10</v>
      </c>
      <c r="P251" s="8"/>
      <c r="R251">
        <f t="shared" si="49"/>
        <v>1</v>
      </c>
      <c r="S251">
        <f t="shared" si="50"/>
        <v>0</v>
      </c>
      <c r="T251">
        <f t="shared" si="51"/>
        <v>0</v>
      </c>
      <c r="U251">
        <f t="shared" si="52"/>
        <v>29.6</v>
      </c>
      <c r="V251" t="str">
        <f t="shared" si="53"/>
        <v/>
      </c>
      <c r="W251" t="str">
        <f t="shared" si="54"/>
        <v/>
      </c>
      <c r="X251">
        <f t="shared" si="48"/>
        <v>1</v>
      </c>
    </row>
    <row r="252" spans="1:24" x14ac:dyDescent="0.25">
      <c r="A252" s="8">
        <v>28</v>
      </c>
      <c r="B252" s="8">
        <v>8</v>
      </c>
      <c r="C252" s="8">
        <v>84</v>
      </c>
      <c r="D252" s="8">
        <v>1</v>
      </c>
      <c r="E252" s="8">
        <v>34.799999999999997</v>
      </c>
      <c r="F252" s="8">
        <v>653</v>
      </c>
      <c r="G252" s="8">
        <v>8.3000000000000007</v>
      </c>
      <c r="H252" s="8">
        <v>2</v>
      </c>
      <c r="I252" s="8">
        <v>12</v>
      </c>
      <c r="J252" s="8">
        <v>54837120</v>
      </c>
      <c r="K252" s="8">
        <v>1</v>
      </c>
      <c r="L252" s="8">
        <v>1</v>
      </c>
      <c r="M252" s="8">
        <v>1</v>
      </c>
      <c r="N252" s="8">
        <v>7</v>
      </c>
      <c r="O252" s="8">
        <v>9</v>
      </c>
      <c r="P252" s="8"/>
      <c r="R252">
        <f t="shared" si="49"/>
        <v>1</v>
      </c>
      <c r="S252">
        <f t="shared" si="50"/>
        <v>0</v>
      </c>
      <c r="T252">
        <f t="shared" si="51"/>
        <v>0</v>
      </c>
      <c r="U252">
        <f t="shared" si="52"/>
        <v>34.799999999999997</v>
      </c>
      <c r="V252" t="str">
        <f t="shared" si="53"/>
        <v/>
      </c>
      <c r="W252" t="str">
        <f t="shared" si="54"/>
        <v/>
      </c>
      <c r="X252">
        <f t="shared" si="48"/>
        <v>1</v>
      </c>
    </row>
    <row r="253" spans="1:24" x14ac:dyDescent="0.25">
      <c r="A253" s="8">
        <v>28</v>
      </c>
      <c r="B253" s="8">
        <v>9</v>
      </c>
      <c r="C253" s="8">
        <v>100</v>
      </c>
      <c r="D253" s="8">
        <v>1</v>
      </c>
      <c r="E253" s="8">
        <v>36.799999999999997</v>
      </c>
      <c r="F253" s="8">
        <v>311</v>
      </c>
      <c r="G253" s="8">
        <v>7.2</v>
      </c>
      <c r="H253" s="8">
        <v>2</v>
      </c>
      <c r="I253" s="8">
        <v>9</v>
      </c>
      <c r="J253" s="8">
        <v>54837120</v>
      </c>
      <c r="K253" s="8">
        <v>1</v>
      </c>
      <c r="L253" s="8">
        <v>1</v>
      </c>
      <c r="M253" s="8">
        <v>1</v>
      </c>
      <c r="N253" s="8">
        <v>7</v>
      </c>
      <c r="O253" s="8">
        <v>10</v>
      </c>
      <c r="P253" s="8"/>
      <c r="R253">
        <f t="shared" si="49"/>
        <v>1</v>
      </c>
      <c r="S253">
        <f t="shared" si="50"/>
        <v>0</v>
      </c>
      <c r="T253">
        <f t="shared" si="51"/>
        <v>0</v>
      </c>
      <c r="U253">
        <f t="shared" si="52"/>
        <v>36.799999999999997</v>
      </c>
      <c r="V253" t="str">
        <f t="shared" si="53"/>
        <v/>
      </c>
      <c r="W253" t="str">
        <f t="shared" si="54"/>
        <v/>
      </c>
      <c r="X253">
        <f t="shared" si="48"/>
        <v>1</v>
      </c>
    </row>
    <row r="254" spans="1:24" x14ac:dyDescent="0.25">
      <c r="A254" s="8">
        <v>28</v>
      </c>
      <c r="B254" s="8">
        <v>10</v>
      </c>
      <c r="C254" s="8">
        <v>100</v>
      </c>
      <c r="D254" s="8">
        <v>1</v>
      </c>
      <c r="E254" s="8">
        <v>22.6</v>
      </c>
      <c r="F254" s="8">
        <v>1000</v>
      </c>
      <c r="G254" s="8">
        <v>9.6</v>
      </c>
      <c r="H254" s="8">
        <v>2</v>
      </c>
      <c r="I254" s="8">
        <v>12</v>
      </c>
      <c r="J254" s="8">
        <v>54837120</v>
      </c>
      <c r="K254" s="8">
        <v>2</v>
      </c>
      <c r="L254" s="8">
        <v>2</v>
      </c>
      <c r="M254" s="8">
        <v>1</v>
      </c>
      <c r="N254" s="8">
        <v>7</v>
      </c>
      <c r="O254" s="8">
        <v>10</v>
      </c>
      <c r="P254" s="8"/>
      <c r="R254">
        <f t="shared" si="49"/>
        <v>1</v>
      </c>
      <c r="S254">
        <f t="shared" si="50"/>
        <v>0</v>
      </c>
      <c r="T254">
        <f t="shared" si="51"/>
        <v>0</v>
      </c>
      <c r="U254">
        <f t="shared" si="52"/>
        <v>22.6</v>
      </c>
      <c r="V254" t="str">
        <f t="shared" si="53"/>
        <v/>
      </c>
      <c r="W254" t="str">
        <f t="shared" si="54"/>
        <v/>
      </c>
      <c r="X254">
        <f t="shared" si="48"/>
        <v>1</v>
      </c>
    </row>
    <row r="255" spans="1:24" x14ac:dyDescent="0.25">
      <c r="A255" s="8">
        <v>28</v>
      </c>
      <c r="B255" s="8">
        <v>11</v>
      </c>
      <c r="C255" s="8">
        <v>100</v>
      </c>
      <c r="D255" s="8">
        <v>1</v>
      </c>
      <c r="E255" s="8">
        <v>24.5</v>
      </c>
      <c r="F255" s="8">
        <v>211</v>
      </c>
      <c r="G255" s="8">
        <v>6.3</v>
      </c>
      <c r="H255" s="8">
        <v>3</v>
      </c>
      <c r="I255" s="8">
        <v>9</v>
      </c>
      <c r="J255" s="8">
        <v>54837120</v>
      </c>
      <c r="K255" s="8">
        <v>1</v>
      </c>
      <c r="L255" s="8">
        <v>1</v>
      </c>
      <c r="M255" s="8">
        <v>1</v>
      </c>
      <c r="N255" s="8">
        <v>6</v>
      </c>
      <c r="O255" s="8">
        <v>10</v>
      </c>
      <c r="P255" s="8"/>
      <c r="R255">
        <f t="shared" si="49"/>
        <v>1</v>
      </c>
      <c r="S255">
        <f t="shared" si="50"/>
        <v>0</v>
      </c>
      <c r="T255">
        <f t="shared" si="51"/>
        <v>0</v>
      </c>
      <c r="U255">
        <f t="shared" si="52"/>
        <v>24.5</v>
      </c>
      <c r="V255" t="str">
        <f t="shared" si="53"/>
        <v/>
      </c>
      <c r="W255" t="str">
        <f t="shared" si="54"/>
        <v/>
      </c>
      <c r="X255">
        <f t="shared" si="48"/>
        <v>1</v>
      </c>
    </row>
    <row r="256" spans="1:24" x14ac:dyDescent="0.25">
      <c r="A256" s="8">
        <v>28</v>
      </c>
      <c r="B256" s="8">
        <v>12</v>
      </c>
      <c r="C256" s="8">
        <v>100</v>
      </c>
      <c r="D256" s="8">
        <v>1</v>
      </c>
      <c r="E256" s="8">
        <v>21.4</v>
      </c>
      <c r="F256" s="8">
        <v>92</v>
      </c>
      <c r="G256" s="8">
        <v>5.4</v>
      </c>
      <c r="H256" s="8">
        <v>2</v>
      </c>
      <c r="I256" s="8">
        <v>7</v>
      </c>
      <c r="J256" s="8">
        <v>54837120</v>
      </c>
      <c r="K256" s="8">
        <v>99</v>
      </c>
      <c r="L256" s="8">
        <v>15</v>
      </c>
      <c r="M256" s="8">
        <v>1</v>
      </c>
      <c r="N256" s="8">
        <v>4</v>
      </c>
      <c r="O256" s="8">
        <v>10</v>
      </c>
      <c r="P256" s="8"/>
      <c r="R256">
        <f t="shared" si="49"/>
        <v>1</v>
      </c>
      <c r="S256">
        <f t="shared" si="50"/>
        <v>0</v>
      </c>
      <c r="T256">
        <f t="shared" si="51"/>
        <v>0</v>
      </c>
      <c r="U256">
        <f t="shared" si="52"/>
        <v>21.4</v>
      </c>
      <c r="V256" t="str">
        <f t="shared" si="53"/>
        <v/>
      </c>
      <c r="W256" t="str">
        <f t="shared" si="54"/>
        <v/>
      </c>
      <c r="X256">
        <f t="shared" si="48"/>
        <v>1</v>
      </c>
    </row>
    <row r="257" spans="1:24" x14ac:dyDescent="0.25">
      <c r="A257" s="8">
        <v>28</v>
      </c>
      <c r="B257" s="8">
        <v>13</v>
      </c>
      <c r="C257" s="8">
        <v>100</v>
      </c>
      <c r="D257" s="8">
        <v>1</v>
      </c>
      <c r="E257" s="8">
        <v>34.799999999999997</v>
      </c>
      <c r="F257" s="8">
        <v>73</v>
      </c>
      <c r="G257" s="8">
        <v>6</v>
      </c>
      <c r="H257" s="8">
        <v>3</v>
      </c>
      <c r="I257" s="8">
        <v>8</v>
      </c>
      <c r="J257" s="8">
        <v>54837120</v>
      </c>
      <c r="K257" s="8">
        <v>1982</v>
      </c>
      <c r="L257" s="8">
        <v>6</v>
      </c>
      <c r="M257" s="8">
        <v>2</v>
      </c>
      <c r="N257" s="8">
        <v>7</v>
      </c>
      <c r="O257" s="8">
        <v>10</v>
      </c>
      <c r="P257" s="8"/>
      <c r="R257">
        <f t="shared" si="49"/>
        <v>1</v>
      </c>
      <c r="S257">
        <f t="shared" si="50"/>
        <v>0</v>
      </c>
      <c r="T257">
        <f t="shared" si="51"/>
        <v>0</v>
      </c>
      <c r="U257">
        <f t="shared" si="52"/>
        <v>34.799999999999997</v>
      </c>
      <c r="V257" t="str">
        <f t="shared" si="53"/>
        <v/>
      </c>
      <c r="W257" t="str">
        <f t="shared" si="54"/>
        <v/>
      </c>
      <c r="X257">
        <f t="shared" si="48"/>
        <v>1</v>
      </c>
    </row>
    <row r="258" spans="1:24" x14ac:dyDescent="0.25">
      <c r="A258" s="8">
        <v>28</v>
      </c>
      <c r="B258" s="8">
        <v>14</v>
      </c>
      <c r="C258" s="8">
        <v>100</v>
      </c>
      <c r="D258" s="8">
        <v>3</v>
      </c>
      <c r="E258" s="8">
        <v>1010.3</v>
      </c>
      <c r="F258" s="8">
        <v>1078</v>
      </c>
      <c r="G258" s="8">
        <v>10.4</v>
      </c>
      <c r="H258" s="8">
        <v>2</v>
      </c>
      <c r="I258" s="8">
        <v>16</v>
      </c>
      <c r="J258" s="8">
        <v>1535439360</v>
      </c>
      <c r="K258" s="8">
        <v>1</v>
      </c>
      <c r="L258" s="8">
        <v>1</v>
      </c>
      <c r="M258" s="8">
        <v>1</v>
      </c>
      <c r="N258" s="8">
        <v>9</v>
      </c>
      <c r="O258" s="8">
        <v>10</v>
      </c>
      <c r="P258" s="8"/>
      <c r="R258">
        <f t="shared" si="49"/>
        <v>0</v>
      </c>
      <c r="S258">
        <f t="shared" si="50"/>
        <v>0</v>
      </c>
      <c r="T258">
        <f t="shared" si="51"/>
        <v>1</v>
      </c>
      <c r="U258" t="str">
        <f t="shared" si="52"/>
        <v/>
      </c>
      <c r="V258" t="str">
        <f t="shared" si="53"/>
        <v/>
      </c>
      <c r="W258">
        <f t="shared" si="54"/>
        <v>1010.3</v>
      </c>
      <c r="X258">
        <f t="shared" si="48"/>
        <v>1</v>
      </c>
    </row>
    <row r="259" spans="1:24" x14ac:dyDescent="0.25">
      <c r="A259" s="8">
        <v>28</v>
      </c>
      <c r="B259" s="8">
        <v>15</v>
      </c>
      <c r="C259" s="8">
        <v>100</v>
      </c>
      <c r="D259" s="8">
        <v>1</v>
      </c>
      <c r="E259" s="8">
        <v>45.1</v>
      </c>
      <c r="F259" s="8">
        <v>70</v>
      </c>
      <c r="G259" s="8">
        <v>7.5</v>
      </c>
      <c r="H259" s="8">
        <v>2</v>
      </c>
      <c r="I259" s="8">
        <v>10</v>
      </c>
      <c r="J259" s="8">
        <v>54837120</v>
      </c>
      <c r="K259" s="8">
        <v>8</v>
      </c>
      <c r="L259" s="8">
        <v>2</v>
      </c>
      <c r="M259" s="8">
        <v>1</v>
      </c>
      <c r="N259" s="8">
        <v>9</v>
      </c>
      <c r="O259" s="8">
        <v>10</v>
      </c>
      <c r="P259" s="8"/>
      <c r="R259">
        <f t="shared" si="49"/>
        <v>1</v>
      </c>
      <c r="S259">
        <f t="shared" si="50"/>
        <v>0</v>
      </c>
      <c r="T259">
        <f t="shared" si="51"/>
        <v>0</v>
      </c>
      <c r="U259">
        <f t="shared" si="52"/>
        <v>45.1</v>
      </c>
      <c r="V259" t="str">
        <f t="shared" si="53"/>
        <v/>
      </c>
      <c r="W259" t="str">
        <f t="shared" si="54"/>
        <v/>
      </c>
      <c r="X259">
        <f t="shared" si="48"/>
        <v>1</v>
      </c>
    </row>
    <row r="260" spans="1:24" x14ac:dyDescent="0.25">
      <c r="A260" s="8">
        <v>28</v>
      </c>
      <c r="B260" s="8">
        <v>16</v>
      </c>
      <c r="C260" s="8">
        <v>100</v>
      </c>
      <c r="D260" s="8">
        <v>1</v>
      </c>
      <c r="E260" s="8">
        <v>13.3</v>
      </c>
      <c r="F260" s="8">
        <v>68</v>
      </c>
      <c r="G260" s="8">
        <v>4.3</v>
      </c>
      <c r="H260" s="8">
        <v>2</v>
      </c>
      <c r="I260" s="8">
        <v>6</v>
      </c>
      <c r="J260" s="8">
        <v>54837120</v>
      </c>
      <c r="K260" s="8">
        <v>3</v>
      </c>
      <c r="L260" s="8">
        <v>3</v>
      </c>
      <c r="M260" s="8">
        <v>1</v>
      </c>
      <c r="N260" s="8">
        <v>9</v>
      </c>
      <c r="O260" s="8">
        <v>10</v>
      </c>
      <c r="P260" s="8"/>
      <c r="R260">
        <f t="shared" si="49"/>
        <v>1</v>
      </c>
      <c r="S260">
        <f t="shared" si="50"/>
        <v>0</v>
      </c>
      <c r="T260">
        <f t="shared" si="51"/>
        <v>0</v>
      </c>
      <c r="U260">
        <f t="shared" si="52"/>
        <v>13.3</v>
      </c>
      <c r="V260" t="str">
        <f t="shared" si="53"/>
        <v/>
      </c>
      <c r="W260" t="str">
        <f t="shared" si="54"/>
        <v/>
      </c>
      <c r="X260">
        <f t="shared" si="48"/>
        <v>1</v>
      </c>
    </row>
    <row r="261" spans="1:24" x14ac:dyDescent="0.25">
      <c r="A261" s="8">
        <v>28</v>
      </c>
      <c r="B261" s="8">
        <v>17</v>
      </c>
      <c r="C261" s="8">
        <v>100</v>
      </c>
      <c r="D261" s="8">
        <v>1</v>
      </c>
      <c r="E261" s="8">
        <v>61.1</v>
      </c>
      <c r="F261" s="8">
        <v>29</v>
      </c>
      <c r="G261" s="8">
        <v>4.7</v>
      </c>
      <c r="H261" s="8">
        <v>2</v>
      </c>
      <c r="I261" s="8">
        <v>7</v>
      </c>
      <c r="J261" s="8">
        <v>54837120</v>
      </c>
      <c r="K261" s="8">
        <v>3284</v>
      </c>
      <c r="L261" s="8">
        <v>2</v>
      </c>
      <c r="M261" s="8">
        <v>1</v>
      </c>
      <c r="N261" s="8">
        <v>5</v>
      </c>
      <c r="O261" s="8">
        <v>10</v>
      </c>
      <c r="P261" s="8"/>
      <c r="R261">
        <f t="shared" si="49"/>
        <v>1</v>
      </c>
      <c r="S261">
        <f t="shared" si="50"/>
        <v>0</v>
      </c>
      <c r="T261">
        <f t="shared" si="51"/>
        <v>0</v>
      </c>
      <c r="U261">
        <f t="shared" si="52"/>
        <v>61.1</v>
      </c>
      <c r="V261" t="str">
        <f t="shared" si="53"/>
        <v/>
      </c>
      <c r="W261" t="str">
        <f t="shared" si="54"/>
        <v/>
      </c>
      <c r="X261">
        <f t="shared" ref="X261:X324" si="55">IF(M261&gt;0,1,0)</f>
        <v>1</v>
      </c>
    </row>
    <row r="262" spans="1:24" x14ac:dyDescent="0.25">
      <c r="A262" s="8">
        <v>28</v>
      </c>
      <c r="B262" s="8">
        <v>18</v>
      </c>
      <c r="C262" s="8">
        <v>100</v>
      </c>
      <c r="D262" s="8">
        <v>1</v>
      </c>
      <c r="E262" s="8">
        <v>46</v>
      </c>
      <c r="F262" s="8">
        <v>127</v>
      </c>
      <c r="G262" s="8">
        <v>8</v>
      </c>
      <c r="H262" s="8">
        <v>2</v>
      </c>
      <c r="I262" s="8">
        <v>11</v>
      </c>
      <c r="J262" s="8">
        <v>54837120</v>
      </c>
      <c r="K262" s="8">
        <v>5</v>
      </c>
      <c r="L262" s="8">
        <v>3</v>
      </c>
      <c r="M262" s="8">
        <v>1</v>
      </c>
      <c r="N262" s="8">
        <v>8</v>
      </c>
      <c r="O262" s="8">
        <v>10</v>
      </c>
      <c r="P262" s="8"/>
      <c r="R262">
        <f t="shared" si="49"/>
        <v>1</v>
      </c>
      <c r="S262">
        <f t="shared" si="50"/>
        <v>0</v>
      </c>
      <c r="T262">
        <f t="shared" si="51"/>
        <v>0</v>
      </c>
      <c r="U262">
        <f t="shared" si="52"/>
        <v>46</v>
      </c>
      <c r="V262" t="str">
        <f t="shared" si="53"/>
        <v/>
      </c>
      <c r="W262" t="str">
        <f t="shared" si="54"/>
        <v/>
      </c>
      <c r="X262">
        <f t="shared" si="55"/>
        <v>1</v>
      </c>
    </row>
    <row r="263" spans="1:24" x14ac:dyDescent="0.25">
      <c r="A263" s="8">
        <v>28</v>
      </c>
      <c r="B263" s="8">
        <v>19</v>
      </c>
      <c r="C263" s="8">
        <v>79</v>
      </c>
      <c r="D263" s="8">
        <v>2</v>
      </c>
      <c r="E263" s="8">
        <v>55.3</v>
      </c>
      <c r="F263" s="8">
        <v>232</v>
      </c>
      <c r="G263" s="8">
        <v>6.6</v>
      </c>
      <c r="H263" s="8">
        <v>2</v>
      </c>
      <c r="I263" s="8">
        <v>10</v>
      </c>
      <c r="J263" s="8">
        <v>109674240</v>
      </c>
      <c r="K263" s="8">
        <v>3</v>
      </c>
      <c r="L263" s="8">
        <v>3</v>
      </c>
      <c r="M263" s="8">
        <v>1</v>
      </c>
      <c r="N263" s="8">
        <v>7</v>
      </c>
      <c r="O263" s="8">
        <v>9</v>
      </c>
      <c r="P263" s="8"/>
      <c r="R263">
        <f t="shared" si="49"/>
        <v>0</v>
      </c>
      <c r="S263">
        <f t="shared" si="50"/>
        <v>1</v>
      </c>
      <c r="T263">
        <f t="shared" si="51"/>
        <v>0</v>
      </c>
      <c r="U263" t="str">
        <f t="shared" si="52"/>
        <v/>
      </c>
      <c r="V263">
        <f t="shared" si="53"/>
        <v>55.3</v>
      </c>
      <c r="W263" t="str">
        <f t="shared" si="54"/>
        <v/>
      </c>
      <c r="X263">
        <f t="shared" si="55"/>
        <v>1</v>
      </c>
    </row>
    <row r="264" spans="1:24" x14ac:dyDescent="0.25">
      <c r="A264" s="8">
        <v>28</v>
      </c>
      <c r="B264" s="8">
        <v>20</v>
      </c>
      <c r="C264" s="8">
        <v>100</v>
      </c>
      <c r="D264" s="8">
        <v>1</v>
      </c>
      <c r="E264" s="8">
        <v>35.799999999999997</v>
      </c>
      <c r="F264" s="8">
        <v>34</v>
      </c>
      <c r="G264" s="8">
        <v>6.3</v>
      </c>
      <c r="H264" s="8">
        <v>2</v>
      </c>
      <c r="I264" s="8">
        <v>10</v>
      </c>
      <c r="J264" s="8">
        <v>54837120</v>
      </c>
      <c r="K264" s="8">
        <v>81129</v>
      </c>
      <c r="L264" s="8">
        <v>800</v>
      </c>
      <c r="M264" s="8">
        <v>1</v>
      </c>
      <c r="N264" s="8">
        <v>8</v>
      </c>
      <c r="O264" s="8">
        <v>10</v>
      </c>
      <c r="P264" s="8"/>
      <c r="R264">
        <f t="shared" si="49"/>
        <v>1</v>
      </c>
      <c r="S264">
        <f t="shared" si="50"/>
        <v>0</v>
      </c>
      <c r="T264">
        <f t="shared" si="51"/>
        <v>0</v>
      </c>
      <c r="U264">
        <f t="shared" si="52"/>
        <v>35.799999999999997</v>
      </c>
      <c r="V264" t="str">
        <f t="shared" si="53"/>
        <v/>
      </c>
      <c r="W264" t="str">
        <f t="shared" si="54"/>
        <v/>
      </c>
      <c r="X264">
        <f t="shared" si="55"/>
        <v>1</v>
      </c>
    </row>
    <row r="265" spans="1:24" x14ac:dyDescent="0.25">
      <c r="A265" s="8">
        <v>28</v>
      </c>
      <c r="B265" s="8">
        <v>21</v>
      </c>
      <c r="C265" s="8">
        <v>74</v>
      </c>
      <c r="D265" s="8">
        <v>1</v>
      </c>
      <c r="E265" s="8">
        <v>27.6</v>
      </c>
      <c r="F265" s="8">
        <v>380</v>
      </c>
      <c r="G265" s="8">
        <v>8.9</v>
      </c>
      <c r="H265" s="8">
        <v>2</v>
      </c>
      <c r="I265" s="8">
        <v>12</v>
      </c>
      <c r="J265" s="8">
        <v>54837120</v>
      </c>
      <c r="K265" s="8">
        <v>2</v>
      </c>
      <c r="L265" s="8">
        <v>2</v>
      </c>
      <c r="M265" s="8">
        <v>1</v>
      </c>
      <c r="N265" s="8">
        <v>9</v>
      </c>
      <c r="O265" s="8">
        <v>10</v>
      </c>
      <c r="P265" s="8"/>
      <c r="R265">
        <f t="shared" si="49"/>
        <v>1</v>
      </c>
      <c r="S265">
        <f t="shared" si="50"/>
        <v>0</v>
      </c>
      <c r="T265">
        <f t="shared" si="51"/>
        <v>0</v>
      </c>
      <c r="U265">
        <f t="shared" si="52"/>
        <v>27.6</v>
      </c>
      <c r="V265" t="str">
        <f t="shared" si="53"/>
        <v/>
      </c>
      <c r="W265" t="str">
        <f t="shared" si="54"/>
        <v/>
      </c>
      <c r="X265">
        <f t="shared" si="55"/>
        <v>1</v>
      </c>
    </row>
    <row r="266" spans="1:24" x14ac:dyDescent="0.25">
      <c r="A266" s="8">
        <v>28</v>
      </c>
      <c r="B266" s="8">
        <v>22</v>
      </c>
      <c r="C266" s="8">
        <v>94</v>
      </c>
      <c r="D266" s="8">
        <v>1</v>
      </c>
      <c r="E266" s="8">
        <v>33.799999999999997</v>
      </c>
      <c r="F266" s="8">
        <v>226</v>
      </c>
      <c r="G266" s="8">
        <v>7.9</v>
      </c>
      <c r="H266" s="8">
        <v>3</v>
      </c>
      <c r="I266" s="8">
        <v>11</v>
      </c>
      <c r="J266" s="8">
        <v>54837120</v>
      </c>
      <c r="K266" s="8">
        <v>2</v>
      </c>
      <c r="L266" s="8">
        <v>2</v>
      </c>
      <c r="M266" s="8">
        <v>2</v>
      </c>
      <c r="N266" s="8">
        <v>9</v>
      </c>
      <c r="O266" s="8">
        <v>9</v>
      </c>
      <c r="P266" s="8"/>
      <c r="R266">
        <f t="shared" si="49"/>
        <v>1</v>
      </c>
      <c r="S266">
        <f t="shared" si="50"/>
        <v>0</v>
      </c>
      <c r="T266">
        <f t="shared" si="51"/>
        <v>0</v>
      </c>
      <c r="U266">
        <f t="shared" si="52"/>
        <v>33.799999999999997</v>
      </c>
      <c r="V266" t="str">
        <f t="shared" si="53"/>
        <v/>
      </c>
      <c r="W266" t="str">
        <f t="shared" si="54"/>
        <v/>
      </c>
      <c r="X266">
        <f t="shared" si="55"/>
        <v>1</v>
      </c>
    </row>
    <row r="267" spans="1:24" x14ac:dyDescent="0.25">
      <c r="A267" s="8">
        <v>28</v>
      </c>
      <c r="B267" s="8">
        <v>23</v>
      </c>
      <c r="C267" s="8">
        <v>100</v>
      </c>
      <c r="D267" s="8">
        <v>1</v>
      </c>
      <c r="E267" s="8">
        <v>49.1</v>
      </c>
      <c r="F267" s="8">
        <v>1043</v>
      </c>
      <c r="G267" s="8">
        <v>11</v>
      </c>
      <c r="H267" s="8">
        <v>2</v>
      </c>
      <c r="I267" s="8">
        <v>16</v>
      </c>
      <c r="J267" s="8">
        <v>54837120</v>
      </c>
      <c r="K267" s="8">
        <v>1</v>
      </c>
      <c r="L267" s="8">
        <v>1</v>
      </c>
      <c r="M267" s="8">
        <v>1</v>
      </c>
      <c r="N267" s="8">
        <v>9</v>
      </c>
      <c r="O267" s="8">
        <v>10</v>
      </c>
      <c r="P267" s="8"/>
      <c r="R267">
        <f t="shared" si="49"/>
        <v>1</v>
      </c>
      <c r="S267">
        <f t="shared" si="50"/>
        <v>0</v>
      </c>
      <c r="T267">
        <f t="shared" si="51"/>
        <v>0</v>
      </c>
      <c r="U267">
        <f t="shared" si="52"/>
        <v>49.1</v>
      </c>
      <c r="V267" t="str">
        <f t="shared" si="53"/>
        <v/>
      </c>
      <c r="W267" t="str">
        <f t="shared" si="54"/>
        <v/>
      </c>
      <c r="X267">
        <f t="shared" si="55"/>
        <v>1</v>
      </c>
    </row>
    <row r="268" spans="1:24" x14ac:dyDescent="0.25">
      <c r="A268" s="8">
        <v>28</v>
      </c>
      <c r="B268" s="8">
        <v>24</v>
      </c>
      <c r="C268" s="8">
        <v>92</v>
      </c>
      <c r="D268" s="8">
        <v>1</v>
      </c>
      <c r="E268" s="8">
        <v>57.3</v>
      </c>
      <c r="F268" s="8">
        <v>118</v>
      </c>
      <c r="G268" s="8">
        <v>5.9</v>
      </c>
      <c r="H268" s="8">
        <v>2</v>
      </c>
      <c r="I268" s="8">
        <v>8</v>
      </c>
      <c r="J268" s="8">
        <v>54837120</v>
      </c>
      <c r="K268" s="8">
        <v>2</v>
      </c>
      <c r="L268" s="8">
        <v>2</v>
      </c>
      <c r="M268" s="8">
        <v>1</v>
      </c>
      <c r="N268" s="8">
        <v>7</v>
      </c>
      <c r="O268" s="8">
        <v>9</v>
      </c>
      <c r="P268" s="8"/>
      <c r="R268">
        <f t="shared" si="49"/>
        <v>1</v>
      </c>
      <c r="S268">
        <f t="shared" si="50"/>
        <v>0</v>
      </c>
      <c r="T268">
        <f t="shared" si="51"/>
        <v>0</v>
      </c>
      <c r="U268">
        <f t="shared" si="52"/>
        <v>57.3</v>
      </c>
      <c r="V268" t="str">
        <f t="shared" si="53"/>
        <v/>
      </c>
      <c r="W268" t="str">
        <f t="shared" si="54"/>
        <v/>
      </c>
      <c r="X268">
        <f t="shared" si="55"/>
        <v>1</v>
      </c>
    </row>
    <row r="269" spans="1:24" x14ac:dyDescent="0.25">
      <c r="A269" s="8">
        <v>28</v>
      </c>
      <c r="B269" s="8">
        <v>25</v>
      </c>
      <c r="C269" s="8">
        <v>66</v>
      </c>
      <c r="D269" s="8">
        <v>1</v>
      </c>
      <c r="E269" s="8">
        <v>29.6</v>
      </c>
      <c r="F269" s="8">
        <v>89</v>
      </c>
      <c r="G269" s="8">
        <v>6.6</v>
      </c>
      <c r="H269" s="8">
        <v>2</v>
      </c>
      <c r="I269" s="8">
        <v>9</v>
      </c>
      <c r="J269" s="8">
        <v>54837120</v>
      </c>
      <c r="K269" s="8">
        <v>2</v>
      </c>
      <c r="L269" s="8">
        <v>2</v>
      </c>
      <c r="M269" s="8">
        <v>1</v>
      </c>
      <c r="N269" s="8">
        <v>7</v>
      </c>
      <c r="O269" s="8">
        <v>10</v>
      </c>
      <c r="P269" s="8"/>
      <c r="R269">
        <f t="shared" si="49"/>
        <v>1</v>
      </c>
      <c r="S269">
        <f t="shared" si="50"/>
        <v>0</v>
      </c>
      <c r="T269">
        <f t="shared" si="51"/>
        <v>0</v>
      </c>
      <c r="U269">
        <f t="shared" si="52"/>
        <v>29.6</v>
      </c>
      <c r="V269" t="str">
        <f t="shared" si="53"/>
        <v/>
      </c>
      <c r="W269" t="str">
        <f t="shared" si="54"/>
        <v/>
      </c>
      <c r="X269">
        <f t="shared" si="55"/>
        <v>1</v>
      </c>
    </row>
    <row r="270" spans="1:24" x14ac:dyDescent="0.25">
      <c r="A270" s="8">
        <v>28</v>
      </c>
      <c r="B270" s="8">
        <v>26</v>
      </c>
      <c r="C270" s="8">
        <v>84</v>
      </c>
      <c r="D270" s="8">
        <v>1</v>
      </c>
      <c r="E270" s="8">
        <v>15.4</v>
      </c>
      <c r="F270" s="8">
        <v>112</v>
      </c>
      <c r="G270" s="8">
        <v>6</v>
      </c>
      <c r="H270" s="8">
        <v>2</v>
      </c>
      <c r="I270" s="8">
        <v>8</v>
      </c>
      <c r="J270" s="8">
        <v>54837120</v>
      </c>
      <c r="K270" s="8">
        <v>8</v>
      </c>
      <c r="L270" s="8">
        <v>5</v>
      </c>
      <c r="M270" s="8">
        <v>2</v>
      </c>
      <c r="N270" s="8">
        <v>6</v>
      </c>
      <c r="O270" s="8">
        <v>10</v>
      </c>
      <c r="P270" s="8"/>
      <c r="R270">
        <f t="shared" si="49"/>
        <v>1</v>
      </c>
      <c r="S270">
        <f t="shared" si="50"/>
        <v>0</v>
      </c>
      <c r="T270">
        <f t="shared" si="51"/>
        <v>0</v>
      </c>
      <c r="U270">
        <f t="shared" si="52"/>
        <v>15.4</v>
      </c>
      <c r="V270" t="str">
        <f t="shared" si="53"/>
        <v/>
      </c>
      <c r="W270" t="str">
        <f t="shared" si="54"/>
        <v/>
      </c>
      <c r="X270">
        <f t="shared" si="55"/>
        <v>1</v>
      </c>
    </row>
    <row r="271" spans="1:24" x14ac:dyDescent="0.25">
      <c r="A271" s="8">
        <v>28</v>
      </c>
      <c r="B271" s="8">
        <v>27</v>
      </c>
      <c r="C271" s="8">
        <v>99</v>
      </c>
      <c r="D271" s="8">
        <v>1</v>
      </c>
      <c r="E271" s="8">
        <v>58.3</v>
      </c>
      <c r="F271" s="8">
        <v>537</v>
      </c>
      <c r="G271" s="8">
        <v>9.6999999999999993</v>
      </c>
      <c r="H271" s="8">
        <v>4</v>
      </c>
      <c r="I271" s="8">
        <v>14</v>
      </c>
      <c r="J271" s="8">
        <v>54837120</v>
      </c>
      <c r="K271" s="8">
        <v>4</v>
      </c>
      <c r="L271" s="8">
        <v>4</v>
      </c>
      <c r="M271" s="8">
        <v>2</v>
      </c>
      <c r="N271" s="8">
        <v>9</v>
      </c>
      <c r="O271" s="8">
        <v>10</v>
      </c>
      <c r="P271" s="8"/>
      <c r="R271">
        <f t="shared" si="49"/>
        <v>1</v>
      </c>
      <c r="S271">
        <f t="shared" si="50"/>
        <v>0</v>
      </c>
      <c r="T271">
        <f t="shared" si="51"/>
        <v>0</v>
      </c>
      <c r="U271">
        <f t="shared" si="52"/>
        <v>58.3</v>
      </c>
      <c r="V271" t="str">
        <f t="shared" si="53"/>
        <v/>
      </c>
      <c r="W271" t="str">
        <f t="shared" si="54"/>
        <v/>
      </c>
      <c r="X271">
        <f t="shared" si="55"/>
        <v>1</v>
      </c>
    </row>
    <row r="272" spans="1:24" x14ac:dyDescent="0.25">
      <c r="A272" s="8">
        <v>28</v>
      </c>
      <c r="B272" s="8">
        <v>28</v>
      </c>
      <c r="C272" s="8">
        <v>100</v>
      </c>
      <c r="D272" s="8">
        <v>1</v>
      </c>
      <c r="E272" s="8">
        <v>32.6</v>
      </c>
      <c r="F272" s="8">
        <v>86</v>
      </c>
      <c r="G272" s="8">
        <v>6.6</v>
      </c>
      <c r="H272" s="8">
        <v>2</v>
      </c>
      <c r="I272" s="8">
        <v>9</v>
      </c>
      <c r="J272" s="8">
        <v>54837120</v>
      </c>
      <c r="K272" s="8">
        <v>156</v>
      </c>
      <c r="L272" s="8">
        <v>4</v>
      </c>
      <c r="M272" s="8">
        <v>1</v>
      </c>
      <c r="N272" s="8">
        <v>6</v>
      </c>
      <c r="O272" s="8">
        <v>10</v>
      </c>
      <c r="P272" s="8"/>
      <c r="R272">
        <f t="shared" si="49"/>
        <v>1</v>
      </c>
      <c r="S272">
        <f t="shared" si="50"/>
        <v>0</v>
      </c>
      <c r="T272">
        <f t="shared" si="51"/>
        <v>0</v>
      </c>
      <c r="U272">
        <f t="shared" si="52"/>
        <v>32.6</v>
      </c>
      <c r="V272" t="str">
        <f t="shared" si="53"/>
        <v/>
      </c>
      <c r="W272" t="str">
        <f t="shared" si="54"/>
        <v/>
      </c>
      <c r="X272">
        <f t="shared" si="55"/>
        <v>1</v>
      </c>
    </row>
    <row r="273" spans="1:24" x14ac:dyDescent="0.25">
      <c r="A273" s="8">
        <v>28</v>
      </c>
      <c r="B273" s="8">
        <v>29</v>
      </c>
      <c r="C273" s="8">
        <v>100</v>
      </c>
      <c r="D273" s="8">
        <v>1</v>
      </c>
      <c r="E273" s="8">
        <v>31.7</v>
      </c>
      <c r="F273" s="8">
        <v>117</v>
      </c>
      <c r="G273" s="8">
        <v>8.8000000000000007</v>
      </c>
      <c r="H273" s="8">
        <v>3</v>
      </c>
      <c r="I273" s="8">
        <v>12</v>
      </c>
      <c r="J273" s="8">
        <v>54837120</v>
      </c>
      <c r="K273" s="8">
        <v>121</v>
      </c>
      <c r="L273" s="8">
        <v>1</v>
      </c>
      <c r="M273" s="8">
        <v>1</v>
      </c>
      <c r="N273" s="8">
        <v>10</v>
      </c>
      <c r="O273" s="8">
        <v>10</v>
      </c>
      <c r="P273" s="8"/>
      <c r="R273">
        <f t="shared" si="49"/>
        <v>1</v>
      </c>
      <c r="S273">
        <f t="shared" si="50"/>
        <v>0</v>
      </c>
      <c r="T273">
        <f t="shared" si="51"/>
        <v>0</v>
      </c>
      <c r="U273">
        <f t="shared" si="52"/>
        <v>31.7</v>
      </c>
      <c r="V273" t="str">
        <f t="shared" si="53"/>
        <v/>
      </c>
      <c r="W273" t="str">
        <f t="shared" si="54"/>
        <v/>
      </c>
      <c r="X273">
        <f t="shared" si="55"/>
        <v>1</v>
      </c>
    </row>
    <row r="274" spans="1:24" x14ac:dyDescent="0.25">
      <c r="A274" s="8">
        <v>29</v>
      </c>
      <c r="B274" s="8">
        <v>0</v>
      </c>
      <c r="C274" s="8">
        <v>100</v>
      </c>
      <c r="D274" s="8">
        <v>1</v>
      </c>
      <c r="E274" s="8">
        <v>30.6</v>
      </c>
      <c r="F274" s="8">
        <v>421</v>
      </c>
      <c r="G274" s="8">
        <v>9.3000000000000007</v>
      </c>
      <c r="H274" s="8">
        <v>2</v>
      </c>
      <c r="I274" s="8">
        <v>13</v>
      </c>
      <c r="J274" s="8">
        <v>54837120</v>
      </c>
      <c r="K274" s="8">
        <v>1</v>
      </c>
      <c r="L274" s="8">
        <v>1</v>
      </c>
      <c r="M274" s="8">
        <v>1</v>
      </c>
      <c r="N274" s="8">
        <v>9</v>
      </c>
      <c r="O274" s="8">
        <v>10</v>
      </c>
      <c r="P274" s="8"/>
      <c r="R274">
        <f t="shared" si="49"/>
        <v>1</v>
      </c>
      <c r="S274">
        <f t="shared" si="50"/>
        <v>0</v>
      </c>
      <c r="T274">
        <f t="shared" si="51"/>
        <v>0</v>
      </c>
      <c r="U274">
        <f t="shared" si="52"/>
        <v>30.6</v>
      </c>
      <c r="V274" t="str">
        <f t="shared" si="53"/>
        <v/>
      </c>
      <c r="W274" t="str">
        <f t="shared" si="54"/>
        <v/>
      </c>
      <c r="X274">
        <f t="shared" si="55"/>
        <v>1</v>
      </c>
    </row>
    <row r="275" spans="1:24" x14ac:dyDescent="0.25">
      <c r="A275" s="8">
        <v>29</v>
      </c>
      <c r="B275" s="8">
        <v>1</v>
      </c>
      <c r="C275" s="8">
        <v>100</v>
      </c>
      <c r="D275" s="8">
        <v>1</v>
      </c>
      <c r="E275" s="8">
        <v>32.700000000000003</v>
      </c>
      <c r="F275" s="8">
        <v>71</v>
      </c>
      <c r="G275" s="8">
        <v>5.6</v>
      </c>
      <c r="H275" s="8">
        <v>2</v>
      </c>
      <c r="I275" s="8">
        <v>7</v>
      </c>
      <c r="J275" s="8">
        <v>54837120</v>
      </c>
      <c r="K275" s="8">
        <v>163</v>
      </c>
      <c r="L275" s="8">
        <v>1</v>
      </c>
      <c r="M275" s="8">
        <v>1</v>
      </c>
      <c r="N275" s="8">
        <v>6</v>
      </c>
      <c r="O275" s="8">
        <v>10</v>
      </c>
      <c r="P275" s="8"/>
      <c r="R275">
        <f t="shared" si="49"/>
        <v>1</v>
      </c>
      <c r="S275">
        <f t="shared" si="50"/>
        <v>0</v>
      </c>
      <c r="T275">
        <f t="shared" si="51"/>
        <v>0</v>
      </c>
      <c r="U275">
        <f t="shared" si="52"/>
        <v>32.700000000000003</v>
      </c>
      <c r="V275" t="str">
        <f t="shared" si="53"/>
        <v/>
      </c>
      <c r="W275" t="str">
        <f t="shared" si="54"/>
        <v/>
      </c>
      <c r="X275">
        <f t="shared" si="55"/>
        <v>1</v>
      </c>
    </row>
    <row r="276" spans="1:24" x14ac:dyDescent="0.25">
      <c r="A276" s="8">
        <v>29</v>
      </c>
      <c r="B276" s="8">
        <v>2</v>
      </c>
      <c r="C276" s="8">
        <v>95</v>
      </c>
      <c r="D276" s="8">
        <v>1</v>
      </c>
      <c r="E276" s="8">
        <v>50.1</v>
      </c>
      <c r="F276" s="8">
        <v>732</v>
      </c>
      <c r="G276" s="8">
        <v>8.6</v>
      </c>
      <c r="H276" s="8">
        <v>2</v>
      </c>
      <c r="I276" s="8">
        <v>12</v>
      </c>
      <c r="J276" s="8">
        <v>54837120</v>
      </c>
      <c r="K276" s="8">
        <v>1</v>
      </c>
      <c r="L276" s="8">
        <v>1</v>
      </c>
      <c r="M276" s="8">
        <v>1</v>
      </c>
      <c r="N276" s="8">
        <v>6</v>
      </c>
      <c r="O276" s="8">
        <v>9</v>
      </c>
      <c r="P276" s="8"/>
      <c r="R276">
        <f t="shared" si="49"/>
        <v>1</v>
      </c>
      <c r="S276">
        <f t="shared" si="50"/>
        <v>0</v>
      </c>
      <c r="T276">
        <f t="shared" si="51"/>
        <v>0</v>
      </c>
      <c r="U276">
        <f t="shared" si="52"/>
        <v>50.1</v>
      </c>
      <c r="V276" t="str">
        <f t="shared" si="53"/>
        <v/>
      </c>
      <c r="W276" t="str">
        <f t="shared" si="54"/>
        <v/>
      </c>
      <c r="X276">
        <f t="shared" si="55"/>
        <v>1</v>
      </c>
    </row>
    <row r="277" spans="1:24" x14ac:dyDescent="0.25">
      <c r="A277" s="8">
        <v>29</v>
      </c>
      <c r="B277" s="8">
        <v>3</v>
      </c>
      <c r="C277" s="8">
        <v>59</v>
      </c>
      <c r="D277" s="8">
        <v>1</v>
      </c>
      <c r="E277" s="8">
        <v>53.2</v>
      </c>
      <c r="F277" s="8">
        <v>1160</v>
      </c>
      <c r="G277" s="8">
        <v>11</v>
      </c>
      <c r="H277" s="8">
        <v>4</v>
      </c>
      <c r="I277" s="8">
        <v>16</v>
      </c>
      <c r="J277" s="8">
        <v>54837120</v>
      </c>
      <c r="K277" s="8">
        <v>1</v>
      </c>
      <c r="L277" s="8">
        <v>1</v>
      </c>
      <c r="M277" s="8">
        <v>1</v>
      </c>
      <c r="N277" s="8">
        <v>8</v>
      </c>
      <c r="O277" s="8">
        <v>11</v>
      </c>
      <c r="P277" s="8"/>
      <c r="R277">
        <f t="shared" si="49"/>
        <v>1</v>
      </c>
      <c r="S277">
        <f t="shared" si="50"/>
        <v>0</v>
      </c>
      <c r="T277">
        <f t="shared" si="51"/>
        <v>0</v>
      </c>
      <c r="U277">
        <f t="shared" si="52"/>
        <v>53.2</v>
      </c>
      <c r="V277" t="str">
        <f t="shared" si="53"/>
        <v/>
      </c>
      <c r="W277" t="str">
        <f t="shared" si="54"/>
        <v/>
      </c>
      <c r="X277">
        <f t="shared" si="55"/>
        <v>1</v>
      </c>
    </row>
    <row r="278" spans="1:24" x14ac:dyDescent="0.25">
      <c r="A278" s="8">
        <v>29</v>
      </c>
      <c r="B278" s="8">
        <v>4</v>
      </c>
      <c r="C278" s="8">
        <v>100</v>
      </c>
      <c r="D278" s="8">
        <v>1</v>
      </c>
      <c r="E278" s="8">
        <v>53.3</v>
      </c>
      <c r="F278" s="8">
        <v>257</v>
      </c>
      <c r="G278" s="8">
        <v>8.5</v>
      </c>
      <c r="H278" s="8">
        <v>2</v>
      </c>
      <c r="I278" s="8">
        <v>12</v>
      </c>
      <c r="J278" s="8">
        <v>54837120</v>
      </c>
      <c r="K278" s="8">
        <v>8</v>
      </c>
      <c r="L278" s="8">
        <v>1</v>
      </c>
      <c r="M278" s="8">
        <v>1</v>
      </c>
      <c r="N278" s="8">
        <v>9</v>
      </c>
      <c r="O278" s="8">
        <v>10</v>
      </c>
      <c r="P278" s="8"/>
      <c r="R278">
        <f t="shared" si="49"/>
        <v>1</v>
      </c>
      <c r="S278">
        <f t="shared" si="50"/>
        <v>0</v>
      </c>
      <c r="T278">
        <f t="shared" si="51"/>
        <v>0</v>
      </c>
      <c r="U278">
        <f t="shared" si="52"/>
        <v>53.3</v>
      </c>
      <c r="V278" t="str">
        <f t="shared" si="53"/>
        <v/>
      </c>
      <c r="W278" t="str">
        <f t="shared" si="54"/>
        <v/>
      </c>
      <c r="X278">
        <f t="shared" si="55"/>
        <v>1</v>
      </c>
    </row>
    <row r="279" spans="1:24" x14ac:dyDescent="0.25">
      <c r="A279" s="8">
        <v>29</v>
      </c>
      <c r="B279" s="8">
        <v>5</v>
      </c>
      <c r="C279" s="8">
        <v>100</v>
      </c>
      <c r="D279" s="8">
        <v>1</v>
      </c>
      <c r="E279" s="8">
        <v>22.5</v>
      </c>
      <c r="F279" s="8">
        <v>422</v>
      </c>
      <c r="G279" s="8">
        <v>7.6</v>
      </c>
      <c r="H279" s="8">
        <v>2</v>
      </c>
      <c r="I279" s="8">
        <v>10</v>
      </c>
      <c r="J279" s="8">
        <v>54837120</v>
      </c>
      <c r="K279" s="8">
        <v>4</v>
      </c>
      <c r="L279" s="8">
        <v>4</v>
      </c>
      <c r="M279" s="8">
        <v>3</v>
      </c>
      <c r="N279" s="8">
        <v>9</v>
      </c>
      <c r="O279" s="8">
        <v>10</v>
      </c>
      <c r="P279" s="8"/>
      <c r="R279">
        <f t="shared" si="49"/>
        <v>1</v>
      </c>
      <c r="S279">
        <f t="shared" si="50"/>
        <v>0</v>
      </c>
      <c r="T279">
        <f t="shared" si="51"/>
        <v>0</v>
      </c>
      <c r="U279">
        <f t="shared" si="52"/>
        <v>22.5</v>
      </c>
      <c r="V279" t="str">
        <f t="shared" si="53"/>
        <v/>
      </c>
      <c r="W279" t="str">
        <f t="shared" si="54"/>
        <v/>
      </c>
      <c r="X279">
        <f t="shared" si="55"/>
        <v>1</v>
      </c>
    </row>
    <row r="280" spans="1:24" x14ac:dyDescent="0.25">
      <c r="A280" s="8">
        <v>29</v>
      </c>
      <c r="B280" s="8">
        <v>6</v>
      </c>
      <c r="C280" s="8">
        <v>89</v>
      </c>
      <c r="D280" s="8">
        <v>1</v>
      </c>
      <c r="E280" s="8">
        <v>45</v>
      </c>
      <c r="F280" s="8">
        <v>3085</v>
      </c>
      <c r="G280" s="8">
        <v>10.6</v>
      </c>
      <c r="H280" s="8">
        <v>2</v>
      </c>
      <c r="I280" s="8">
        <v>14</v>
      </c>
      <c r="J280" s="8">
        <v>54837120</v>
      </c>
      <c r="K280" s="8">
        <v>2</v>
      </c>
      <c r="L280" s="8">
        <v>2</v>
      </c>
      <c r="M280" s="8">
        <v>2</v>
      </c>
      <c r="N280" s="8">
        <v>7</v>
      </c>
      <c r="O280" s="8">
        <v>10</v>
      </c>
      <c r="P280" s="8"/>
      <c r="R280">
        <f t="shared" si="49"/>
        <v>1</v>
      </c>
      <c r="S280">
        <f t="shared" si="50"/>
        <v>0</v>
      </c>
      <c r="T280">
        <f t="shared" si="51"/>
        <v>0</v>
      </c>
      <c r="U280">
        <f t="shared" si="52"/>
        <v>45</v>
      </c>
      <c r="V280" t="str">
        <f t="shared" si="53"/>
        <v/>
      </c>
      <c r="W280" t="str">
        <f t="shared" si="54"/>
        <v/>
      </c>
      <c r="X280">
        <f t="shared" si="55"/>
        <v>1</v>
      </c>
    </row>
    <row r="281" spans="1:24" x14ac:dyDescent="0.25">
      <c r="A281" s="8">
        <v>29</v>
      </c>
      <c r="B281" s="8">
        <v>7</v>
      </c>
      <c r="C281" s="8">
        <v>100</v>
      </c>
      <c r="D281" s="8">
        <v>1</v>
      </c>
      <c r="E281" s="8">
        <v>21.5</v>
      </c>
      <c r="F281" s="8">
        <v>140</v>
      </c>
      <c r="G281" s="8">
        <v>5.0999999999999996</v>
      </c>
      <c r="H281" s="8">
        <v>2</v>
      </c>
      <c r="I281" s="8">
        <v>7</v>
      </c>
      <c r="J281" s="8">
        <v>54837120</v>
      </c>
      <c r="K281" s="8">
        <v>2</v>
      </c>
      <c r="L281" s="8">
        <v>2</v>
      </c>
      <c r="M281" s="8">
        <v>1</v>
      </c>
      <c r="N281" s="8">
        <v>9</v>
      </c>
      <c r="O281" s="8">
        <v>10</v>
      </c>
      <c r="P281" s="8"/>
      <c r="R281">
        <f t="shared" si="49"/>
        <v>1</v>
      </c>
      <c r="S281">
        <f t="shared" si="50"/>
        <v>0</v>
      </c>
      <c r="T281">
        <f t="shared" si="51"/>
        <v>0</v>
      </c>
      <c r="U281">
        <f t="shared" si="52"/>
        <v>21.5</v>
      </c>
      <c r="V281" t="str">
        <f t="shared" si="53"/>
        <v/>
      </c>
      <c r="W281" t="str">
        <f t="shared" si="54"/>
        <v/>
      </c>
      <c r="X281">
        <f t="shared" si="55"/>
        <v>1</v>
      </c>
    </row>
    <row r="282" spans="1:24" x14ac:dyDescent="0.25">
      <c r="A282" s="8">
        <v>29</v>
      </c>
      <c r="B282" s="8">
        <v>8</v>
      </c>
      <c r="C282" s="8">
        <v>100</v>
      </c>
      <c r="D282" s="8">
        <v>1</v>
      </c>
      <c r="E282" s="8">
        <v>70.400000000000006</v>
      </c>
      <c r="F282" s="8">
        <v>2113</v>
      </c>
      <c r="G282" s="8">
        <v>12.4</v>
      </c>
      <c r="H282" s="8">
        <v>2</v>
      </c>
      <c r="I282" s="8">
        <v>17</v>
      </c>
      <c r="J282" s="8">
        <v>54837120</v>
      </c>
      <c r="K282" s="8">
        <v>1</v>
      </c>
      <c r="L282" s="8">
        <v>1</v>
      </c>
      <c r="M282" s="8">
        <v>1</v>
      </c>
      <c r="N282" s="8">
        <v>9</v>
      </c>
      <c r="O282" s="8">
        <v>10</v>
      </c>
      <c r="P282" s="8"/>
      <c r="R282">
        <f t="shared" si="49"/>
        <v>1</v>
      </c>
      <c r="S282">
        <f t="shared" si="50"/>
        <v>0</v>
      </c>
      <c r="T282">
        <f t="shared" si="51"/>
        <v>0</v>
      </c>
      <c r="U282">
        <f t="shared" si="52"/>
        <v>70.400000000000006</v>
      </c>
      <c r="V282" t="str">
        <f t="shared" si="53"/>
        <v/>
      </c>
      <c r="W282" t="str">
        <f t="shared" si="54"/>
        <v/>
      </c>
      <c r="X282">
        <f t="shared" si="55"/>
        <v>1</v>
      </c>
    </row>
    <row r="283" spans="1:24" x14ac:dyDescent="0.25">
      <c r="A283" s="8">
        <v>29</v>
      </c>
      <c r="B283" s="8">
        <v>9</v>
      </c>
      <c r="C283" s="8">
        <v>100</v>
      </c>
      <c r="D283" s="8">
        <v>1</v>
      </c>
      <c r="E283" s="8">
        <v>43.9</v>
      </c>
      <c r="F283" s="8">
        <v>1920</v>
      </c>
      <c r="G283" s="8">
        <v>9.5</v>
      </c>
      <c r="H283" s="8">
        <v>2</v>
      </c>
      <c r="I283" s="8">
        <v>13</v>
      </c>
      <c r="J283" s="8">
        <v>54837120</v>
      </c>
      <c r="K283" s="8">
        <v>1</v>
      </c>
      <c r="L283" s="8">
        <v>1</v>
      </c>
      <c r="M283" s="8">
        <v>1</v>
      </c>
      <c r="N283" s="8">
        <v>8</v>
      </c>
      <c r="O283" s="8">
        <v>10</v>
      </c>
      <c r="P283" s="8"/>
      <c r="R283">
        <f t="shared" si="49"/>
        <v>1</v>
      </c>
      <c r="S283">
        <f t="shared" si="50"/>
        <v>0</v>
      </c>
      <c r="T283">
        <f t="shared" si="51"/>
        <v>0</v>
      </c>
      <c r="U283">
        <f t="shared" si="52"/>
        <v>43.9</v>
      </c>
      <c r="V283" t="str">
        <f t="shared" si="53"/>
        <v/>
      </c>
      <c r="W283" t="str">
        <f t="shared" si="54"/>
        <v/>
      </c>
      <c r="X283">
        <f t="shared" si="55"/>
        <v>1</v>
      </c>
    </row>
    <row r="284" spans="1:24" x14ac:dyDescent="0.25">
      <c r="A284" s="8">
        <v>29</v>
      </c>
      <c r="B284" s="8">
        <v>10</v>
      </c>
      <c r="C284" s="8">
        <v>74</v>
      </c>
      <c r="D284" s="8">
        <v>1</v>
      </c>
      <c r="E284" s="8">
        <v>39.700000000000003</v>
      </c>
      <c r="F284" s="8">
        <v>609</v>
      </c>
      <c r="G284" s="8">
        <v>8.1</v>
      </c>
      <c r="H284" s="8">
        <v>2</v>
      </c>
      <c r="I284" s="8">
        <v>12</v>
      </c>
      <c r="J284" s="8">
        <v>54837120</v>
      </c>
      <c r="K284" s="8">
        <v>1</v>
      </c>
      <c r="L284" s="8">
        <v>1</v>
      </c>
      <c r="M284" s="8">
        <v>1</v>
      </c>
      <c r="N284" s="8">
        <v>7</v>
      </c>
      <c r="O284" s="8">
        <v>10</v>
      </c>
      <c r="P284" s="8"/>
      <c r="R284">
        <f t="shared" si="49"/>
        <v>1</v>
      </c>
      <c r="S284">
        <f t="shared" si="50"/>
        <v>0</v>
      </c>
      <c r="T284">
        <f t="shared" si="51"/>
        <v>0</v>
      </c>
      <c r="U284">
        <f t="shared" si="52"/>
        <v>39.700000000000003</v>
      </c>
      <c r="V284" t="str">
        <f t="shared" si="53"/>
        <v/>
      </c>
      <c r="W284" t="str">
        <f t="shared" si="54"/>
        <v/>
      </c>
      <c r="X284">
        <f t="shared" si="55"/>
        <v>1</v>
      </c>
    </row>
    <row r="285" spans="1:24" x14ac:dyDescent="0.25">
      <c r="A285" s="8">
        <v>29</v>
      </c>
      <c r="B285" s="8">
        <v>11</v>
      </c>
      <c r="C285" s="8">
        <v>100</v>
      </c>
      <c r="D285" s="8">
        <v>2</v>
      </c>
      <c r="E285" s="8">
        <v>106.3</v>
      </c>
      <c r="F285" s="8">
        <v>192</v>
      </c>
      <c r="G285" s="8">
        <v>7.9</v>
      </c>
      <c r="H285" s="8">
        <v>2</v>
      </c>
      <c r="I285" s="8">
        <v>12</v>
      </c>
      <c r="J285" s="8">
        <v>109674240</v>
      </c>
      <c r="K285" s="8">
        <v>3</v>
      </c>
      <c r="L285" s="8">
        <v>3</v>
      </c>
      <c r="M285" s="8">
        <v>3</v>
      </c>
      <c r="N285" s="8">
        <v>6</v>
      </c>
      <c r="O285" s="8">
        <v>10</v>
      </c>
      <c r="P285" s="8"/>
      <c r="R285">
        <f t="shared" si="49"/>
        <v>0</v>
      </c>
      <c r="S285">
        <f t="shared" si="50"/>
        <v>1</v>
      </c>
      <c r="T285">
        <f t="shared" si="51"/>
        <v>0</v>
      </c>
      <c r="U285" t="str">
        <f t="shared" si="52"/>
        <v/>
      </c>
      <c r="V285">
        <f t="shared" si="53"/>
        <v>106.3</v>
      </c>
      <c r="W285" t="str">
        <f t="shared" si="54"/>
        <v/>
      </c>
      <c r="X285">
        <f t="shared" si="55"/>
        <v>1</v>
      </c>
    </row>
    <row r="286" spans="1:24" x14ac:dyDescent="0.25">
      <c r="A286" s="8">
        <v>29</v>
      </c>
      <c r="B286" s="8">
        <v>12</v>
      </c>
      <c r="C286" s="8">
        <v>100</v>
      </c>
      <c r="D286" s="8">
        <v>1</v>
      </c>
      <c r="E286" s="8">
        <v>34.799999999999997</v>
      </c>
      <c r="F286" s="8">
        <v>349</v>
      </c>
      <c r="G286" s="8">
        <v>10.199999999999999</v>
      </c>
      <c r="H286" s="8">
        <v>2</v>
      </c>
      <c r="I286" s="8">
        <v>17</v>
      </c>
      <c r="J286" s="8">
        <v>54837120</v>
      </c>
      <c r="K286" s="8">
        <v>1</v>
      </c>
      <c r="L286" s="8">
        <v>1</v>
      </c>
      <c r="M286" s="8">
        <v>1</v>
      </c>
      <c r="N286" s="8">
        <v>10</v>
      </c>
      <c r="O286" s="8">
        <v>10</v>
      </c>
      <c r="P286" s="8"/>
      <c r="R286">
        <f t="shared" si="49"/>
        <v>1</v>
      </c>
      <c r="S286">
        <f t="shared" si="50"/>
        <v>0</v>
      </c>
      <c r="T286">
        <f t="shared" si="51"/>
        <v>0</v>
      </c>
      <c r="U286">
        <f t="shared" si="52"/>
        <v>34.799999999999997</v>
      </c>
      <c r="V286" t="str">
        <f t="shared" si="53"/>
        <v/>
      </c>
      <c r="W286" t="str">
        <f t="shared" si="54"/>
        <v/>
      </c>
      <c r="X286">
        <f t="shared" si="55"/>
        <v>1</v>
      </c>
    </row>
    <row r="287" spans="1:24" x14ac:dyDescent="0.25">
      <c r="A287" s="8">
        <v>29</v>
      </c>
      <c r="B287" s="8">
        <v>13</v>
      </c>
      <c r="C287" s="8">
        <v>39</v>
      </c>
      <c r="D287" s="8">
        <v>1</v>
      </c>
      <c r="E287" s="8">
        <v>14.3</v>
      </c>
      <c r="F287" s="8">
        <v>58</v>
      </c>
      <c r="G287" s="8">
        <v>4.0999999999999996</v>
      </c>
      <c r="H287" s="8">
        <v>2</v>
      </c>
      <c r="I287" s="8">
        <v>6</v>
      </c>
      <c r="J287" s="8">
        <v>54837120</v>
      </c>
      <c r="K287" s="8">
        <v>90</v>
      </c>
      <c r="L287" s="8">
        <v>11</v>
      </c>
      <c r="M287" s="8">
        <v>1</v>
      </c>
      <c r="N287" s="8">
        <v>4</v>
      </c>
      <c r="O287" s="8">
        <v>11</v>
      </c>
      <c r="P287" s="8"/>
      <c r="R287">
        <f t="shared" ref="R287:R350" si="56">IF(D287=1,1,0)</f>
        <v>1</v>
      </c>
      <c r="S287">
        <f t="shared" ref="S287:S350" si="57">IF(D287=2,1,0)</f>
        <v>0</v>
      </c>
      <c r="T287">
        <f t="shared" ref="T287:T350" si="58">IF(D287=3,1,0)</f>
        <v>0</v>
      </c>
      <c r="U287">
        <f t="shared" si="52"/>
        <v>14.3</v>
      </c>
      <c r="V287" t="str">
        <f t="shared" si="53"/>
        <v/>
      </c>
      <c r="W287" t="str">
        <f t="shared" si="54"/>
        <v/>
      </c>
      <c r="X287">
        <f t="shared" si="55"/>
        <v>1</v>
      </c>
    </row>
    <row r="288" spans="1:24" x14ac:dyDescent="0.25">
      <c r="A288" s="8">
        <v>29</v>
      </c>
      <c r="B288" s="8">
        <v>14</v>
      </c>
      <c r="C288" s="8">
        <v>66</v>
      </c>
      <c r="D288" s="8">
        <v>1</v>
      </c>
      <c r="E288" s="8">
        <v>18.399999999999999</v>
      </c>
      <c r="F288" s="8">
        <v>348</v>
      </c>
      <c r="G288" s="8">
        <v>8.6</v>
      </c>
      <c r="H288" s="8">
        <v>3</v>
      </c>
      <c r="I288" s="8">
        <v>12</v>
      </c>
      <c r="J288" s="8">
        <v>54837120</v>
      </c>
      <c r="K288" s="8">
        <v>1</v>
      </c>
      <c r="L288" s="8">
        <v>1</v>
      </c>
      <c r="M288" s="8">
        <v>1</v>
      </c>
      <c r="N288" s="8">
        <v>7</v>
      </c>
      <c r="O288" s="8">
        <v>10</v>
      </c>
      <c r="P288" s="8"/>
      <c r="R288">
        <f t="shared" si="56"/>
        <v>1</v>
      </c>
      <c r="S288">
        <f t="shared" si="57"/>
        <v>0</v>
      </c>
      <c r="T288">
        <f t="shared" si="58"/>
        <v>0</v>
      </c>
      <c r="U288">
        <f t="shared" si="52"/>
        <v>18.399999999999999</v>
      </c>
      <c r="V288" t="str">
        <f t="shared" si="53"/>
        <v/>
      </c>
      <c r="W288" t="str">
        <f t="shared" si="54"/>
        <v/>
      </c>
      <c r="X288">
        <f t="shared" si="55"/>
        <v>1</v>
      </c>
    </row>
    <row r="289" spans="1:24" x14ac:dyDescent="0.25">
      <c r="A289" s="8">
        <v>29</v>
      </c>
      <c r="B289" s="8">
        <v>15</v>
      </c>
      <c r="C289" s="8">
        <v>100</v>
      </c>
      <c r="D289" s="8">
        <v>1</v>
      </c>
      <c r="E289" s="8">
        <v>12.3</v>
      </c>
      <c r="F289" s="8">
        <v>138</v>
      </c>
      <c r="G289" s="8">
        <v>7.6</v>
      </c>
      <c r="H289" s="8">
        <v>2</v>
      </c>
      <c r="I289" s="8">
        <v>12</v>
      </c>
      <c r="J289" s="8">
        <v>54837120</v>
      </c>
      <c r="K289" s="8">
        <v>1</v>
      </c>
      <c r="L289" s="8">
        <v>1</v>
      </c>
      <c r="M289" s="8">
        <v>1</v>
      </c>
      <c r="N289" s="8">
        <v>8</v>
      </c>
      <c r="O289" s="8">
        <v>10</v>
      </c>
      <c r="P289" s="8"/>
      <c r="R289">
        <f t="shared" si="56"/>
        <v>1</v>
      </c>
      <c r="S289">
        <f t="shared" si="57"/>
        <v>0</v>
      </c>
      <c r="T289">
        <f t="shared" si="58"/>
        <v>0</v>
      </c>
      <c r="U289">
        <f t="shared" ref="U289:U352" si="59">IF(D289=1,E289,"")</f>
        <v>12.3</v>
      </c>
      <c r="V289" t="str">
        <f t="shared" ref="V289:V352" si="60">IF(D289=2,E289,"")</f>
        <v/>
      </c>
      <c r="W289" t="str">
        <f t="shared" ref="W289:W352" si="61">IF(D289=3,E289,"")</f>
        <v/>
      </c>
      <c r="X289">
        <f t="shared" si="55"/>
        <v>1</v>
      </c>
    </row>
    <row r="290" spans="1:24" x14ac:dyDescent="0.25">
      <c r="A290" s="8">
        <v>29</v>
      </c>
      <c r="B290" s="8">
        <v>16</v>
      </c>
      <c r="C290" s="8">
        <v>92</v>
      </c>
      <c r="D290" s="8">
        <v>1</v>
      </c>
      <c r="E290" s="8">
        <v>39.9</v>
      </c>
      <c r="F290" s="8">
        <v>417</v>
      </c>
      <c r="G290" s="8">
        <v>7.4</v>
      </c>
      <c r="H290" s="8">
        <v>2</v>
      </c>
      <c r="I290" s="8">
        <v>11</v>
      </c>
      <c r="J290" s="8">
        <v>54837120</v>
      </c>
      <c r="K290" s="8">
        <v>1</v>
      </c>
      <c r="L290" s="8">
        <v>1</v>
      </c>
      <c r="M290" s="8">
        <v>1</v>
      </c>
      <c r="N290" s="8">
        <v>8</v>
      </c>
      <c r="O290" s="8">
        <v>9</v>
      </c>
      <c r="P290" s="8"/>
      <c r="R290">
        <f t="shared" si="56"/>
        <v>1</v>
      </c>
      <c r="S290">
        <f t="shared" si="57"/>
        <v>0</v>
      </c>
      <c r="T290">
        <f t="shared" si="58"/>
        <v>0</v>
      </c>
      <c r="U290">
        <f t="shared" si="59"/>
        <v>39.9</v>
      </c>
      <c r="V290" t="str">
        <f t="shared" si="60"/>
        <v/>
      </c>
      <c r="W290" t="str">
        <f t="shared" si="61"/>
        <v/>
      </c>
      <c r="X290">
        <f t="shared" si="55"/>
        <v>1</v>
      </c>
    </row>
    <row r="291" spans="1:24" x14ac:dyDescent="0.25">
      <c r="A291" s="8">
        <v>29</v>
      </c>
      <c r="B291" s="8">
        <v>17</v>
      </c>
      <c r="C291" s="8">
        <v>100</v>
      </c>
      <c r="D291" s="8">
        <v>1</v>
      </c>
      <c r="E291" s="8">
        <v>56.1</v>
      </c>
      <c r="F291" s="8">
        <v>597</v>
      </c>
      <c r="G291" s="8">
        <v>10</v>
      </c>
      <c r="H291" s="8">
        <v>3</v>
      </c>
      <c r="I291" s="8">
        <v>14</v>
      </c>
      <c r="J291" s="8">
        <v>54837120</v>
      </c>
      <c r="K291" s="8">
        <v>1</v>
      </c>
      <c r="L291" s="8">
        <v>1</v>
      </c>
      <c r="M291" s="8">
        <v>1</v>
      </c>
      <c r="N291" s="8">
        <v>8</v>
      </c>
      <c r="O291" s="8">
        <v>10</v>
      </c>
      <c r="P291" s="8"/>
      <c r="R291">
        <f t="shared" si="56"/>
        <v>1</v>
      </c>
      <c r="S291">
        <f t="shared" si="57"/>
        <v>0</v>
      </c>
      <c r="T291">
        <f t="shared" si="58"/>
        <v>0</v>
      </c>
      <c r="U291">
        <f t="shared" si="59"/>
        <v>56.1</v>
      </c>
      <c r="V291" t="str">
        <f t="shared" si="60"/>
        <v/>
      </c>
      <c r="W291" t="str">
        <f t="shared" si="61"/>
        <v/>
      </c>
      <c r="X291">
        <f t="shared" si="55"/>
        <v>1</v>
      </c>
    </row>
    <row r="292" spans="1:24" x14ac:dyDescent="0.25">
      <c r="A292" s="8">
        <v>29</v>
      </c>
      <c r="B292" s="8">
        <v>18</v>
      </c>
      <c r="C292" s="8">
        <v>84</v>
      </c>
      <c r="D292" s="8">
        <v>1</v>
      </c>
      <c r="E292" s="8">
        <v>39</v>
      </c>
      <c r="F292" s="8">
        <v>353</v>
      </c>
      <c r="G292" s="8">
        <v>8.1</v>
      </c>
      <c r="H292" s="8">
        <v>2</v>
      </c>
      <c r="I292" s="8">
        <v>11</v>
      </c>
      <c r="J292" s="8">
        <v>54837120</v>
      </c>
      <c r="K292" s="8">
        <v>1</v>
      </c>
      <c r="L292" s="8">
        <v>1</v>
      </c>
      <c r="M292" s="8">
        <v>1</v>
      </c>
      <c r="N292" s="8">
        <v>7</v>
      </c>
      <c r="O292" s="8">
        <v>10</v>
      </c>
      <c r="P292" s="8"/>
      <c r="R292">
        <f t="shared" si="56"/>
        <v>1</v>
      </c>
      <c r="S292">
        <f t="shared" si="57"/>
        <v>0</v>
      </c>
      <c r="T292">
        <f t="shared" si="58"/>
        <v>0</v>
      </c>
      <c r="U292">
        <f t="shared" si="59"/>
        <v>39</v>
      </c>
      <c r="V292" t="str">
        <f t="shared" si="60"/>
        <v/>
      </c>
      <c r="W292" t="str">
        <f t="shared" si="61"/>
        <v/>
      </c>
      <c r="X292">
        <f t="shared" si="55"/>
        <v>1</v>
      </c>
    </row>
    <row r="293" spans="1:24" x14ac:dyDescent="0.25">
      <c r="A293" s="8">
        <v>29</v>
      </c>
      <c r="B293" s="8">
        <v>19</v>
      </c>
      <c r="C293" s="8">
        <v>100</v>
      </c>
      <c r="D293" s="8">
        <v>1</v>
      </c>
      <c r="E293" s="8">
        <v>39.799999999999997</v>
      </c>
      <c r="F293" s="8">
        <v>95</v>
      </c>
      <c r="G293" s="8">
        <v>6.4</v>
      </c>
      <c r="H293" s="8">
        <v>2</v>
      </c>
      <c r="I293" s="8">
        <v>8</v>
      </c>
      <c r="J293" s="8">
        <v>54837120</v>
      </c>
      <c r="K293" s="8">
        <v>6</v>
      </c>
      <c r="L293" s="8">
        <v>2</v>
      </c>
      <c r="M293" s="8">
        <v>1</v>
      </c>
      <c r="N293" s="8">
        <v>9</v>
      </c>
      <c r="O293" s="8">
        <v>10</v>
      </c>
      <c r="P293" s="8"/>
      <c r="R293">
        <f t="shared" si="56"/>
        <v>1</v>
      </c>
      <c r="S293">
        <f t="shared" si="57"/>
        <v>0</v>
      </c>
      <c r="T293">
        <f t="shared" si="58"/>
        <v>0</v>
      </c>
      <c r="U293">
        <f t="shared" si="59"/>
        <v>39.799999999999997</v>
      </c>
      <c r="V293" t="str">
        <f t="shared" si="60"/>
        <v/>
      </c>
      <c r="W293" t="str">
        <f t="shared" si="61"/>
        <v/>
      </c>
      <c r="X293">
        <f t="shared" si="55"/>
        <v>1</v>
      </c>
    </row>
    <row r="294" spans="1:24" x14ac:dyDescent="0.25">
      <c r="A294" s="8">
        <v>29</v>
      </c>
      <c r="B294" s="8">
        <v>20</v>
      </c>
      <c r="C294" s="8">
        <v>100</v>
      </c>
      <c r="D294" s="8">
        <v>1</v>
      </c>
      <c r="E294" s="8">
        <v>48.2</v>
      </c>
      <c r="F294" s="8">
        <v>755</v>
      </c>
      <c r="G294" s="8">
        <v>10.8</v>
      </c>
      <c r="H294" s="8">
        <v>3</v>
      </c>
      <c r="I294" s="8">
        <v>15</v>
      </c>
      <c r="J294" s="8">
        <v>54837120</v>
      </c>
      <c r="K294" s="8">
        <v>2</v>
      </c>
      <c r="L294" s="8">
        <v>2</v>
      </c>
      <c r="M294" s="8">
        <v>1</v>
      </c>
      <c r="N294" s="8">
        <v>9</v>
      </c>
      <c r="O294" s="8">
        <v>10</v>
      </c>
      <c r="P294" s="8"/>
      <c r="R294">
        <f t="shared" si="56"/>
        <v>1</v>
      </c>
      <c r="S294">
        <f t="shared" si="57"/>
        <v>0</v>
      </c>
      <c r="T294">
        <f t="shared" si="58"/>
        <v>0</v>
      </c>
      <c r="U294">
        <f t="shared" si="59"/>
        <v>48.2</v>
      </c>
      <c r="V294" t="str">
        <f t="shared" si="60"/>
        <v/>
      </c>
      <c r="W294" t="str">
        <f t="shared" si="61"/>
        <v/>
      </c>
      <c r="X294">
        <f t="shared" si="55"/>
        <v>1</v>
      </c>
    </row>
    <row r="295" spans="1:24" x14ac:dyDescent="0.25">
      <c r="A295" s="8">
        <v>29</v>
      </c>
      <c r="B295" s="8">
        <v>21</v>
      </c>
      <c r="C295" s="8">
        <v>100</v>
      </c>
      <c r="D295" s="8">
        <v>3</v>
      </c>
      <c r="E295" s="8">
        <v>878</v>
      </c>
      <c r="F295" s="8">
        <v>822</v>
      </c>
      <c r="G295" s="8">
        <v>9.6999999999999993</v>
      </c>
      <c r="H295" s="8">
        <v>2</v>
      </c>
      <c r="I295" s="8">
        <v>14</v>
      </c>
      <c r="J295" s="8">
        <v>1535439360</v>
      </c>
      <c r="K295" s="8">
        <v>1</v>
      </c>
      <c r="L295" s="8">
        <v>1</v>
      </c>
      <c r="M295" s="8">
        <v>1</v>
      </c>
      <c r="N295" s="8">
        <v>8</v>
      </c>
      <c r="O295" s="8">
        <v>10</v>
      </c>
      <c r="P295" s="8"/>
      <c r="R295">
        <f t="shared" si="56"/>
        <v>0</v>
      </c>
      <c r="S295">
        <f t="shared" si="57"/>
        <v>0</v>
      </c>
      <c r="T295">
        <f t="shared" si="58"/>
        <v>1</v>
      </c>
      <c r="U295" t="str">
        <f t="shared" si="59"/>
        <v/>
      </c>
      <c r="V295" t="str">
        <f t="shared" si="60"/>
        <v/>
      </c>
      <c r="W295">
        <f t="shared" si="61"/>
        <v>878</v>
      </c>
      <c r="X295">
        <f t="shared" si="55"/>
        <v>1</v>
      </c>
    </row>
    <row r="296" spans="1:24" x14ac:dyDescent="0.25">
      <c r="A296" s="8">
        <v>29</v>
      </c>
      <c r="B296" s="8">
        <v>22</v>
      </c>
      <c r="C296" s="8">
        <v>100</v>
      </c>
      <c r="D296" s="8">
        <v>1</v>
      </c>
      <c r="E296" s="8">
        <v>48</v>
      </c>
      <c r="F296" s="8">
        <v>343</v>
      </c>
      <c r="G296" s="8">
        <v>9.5</v>
      </c>
      <c r="H296" s="8">
        <v>3</v>
      </c>
      <c r="I296" s="8">
        <v>14</v>
      </c>
      <c r="J296" s="8">
        <v>54837120</v>
      </c>
      <c r="K296" s="8">
        <v>8</v>
      </c>
      <c r="L296" s="8">
        <v>1</v>
      </c>
      <c r="M296" s="8">
        <v>1</v>
      </c>
      <c r="N296" s="8">
        <v>9</v>
      </c>
      <c r="O296" s="8">
        <v>10</v>
      </c>
      <c r="P296" s="8"/>
      <c r="R296">
        <f t="shared" si="56"/>
        <v>1</v>
      </c>
      <c r="S296">
        <f t="shared" si="57"/>
        <v>0</v>
      </c>
      <c r="T296">
        <f t="shared" si="58"/>
        <v>0</v>
      </c>
      <c r="U296">
        <f t="shared" si="59"/>
        <v>48</v>
      </c>
      <c r="V296" t="str">
        <f t="shared" si="60"/>
        <v/>
      </c>
      <c r="W296" t="str">
        <f t="shared" si="61"/>
        <v/>
      </c>
      <c r="X296">
        <f t="shared" si="55"/>
        <v>1</v>
      </c>
    </row>
    <row r="297" spans="1:24" x14ac:dyDescent="0.25">
      <c r="A297" s="8">
        <v>29</v>
      </c>
      <c r="B297" s="8">
        <v>23</v>
      </c>
      <c r="C297" s="8">
        <v>100</v>
      </c>
      <c r="D297" s="8">
        <v>3</v>
      </c>
      <c r="E297" s="8">
        <v>760.2</v>
      </c>
      <c r="F297" s="8">
        <v>1224</v>
      </c>
      <c r="G297" s="8">
        <v>11.2</v>
      </c>
      <c r="H297" s="8">
        <v>2</v>
      </c>
      <c r="I297" s="8">
        <v>15</v>
      </c>
      <c r="J297" s="8">
        <v>1535439360</v>
      </c>
      <c r="K297" s="8">
        <v>1</v>
      </c>
      <c r="L297" s="8">
        <v>1</v>
      </c>
      <c r="M297" s="8">
        <v>1</v>
      </c>
      <c r="N297" s="8">
        <v>9</v>
      </c>
      <c r="O297" s="8">
        <v>10</v>
      </c>
      <c r="P297" s="8"/>
      <c r="R297">
        <f t="shared" si="56"/>
        <v>0</v>
      </c>
      <c r="S297">
        <f t="shared" si="57"/>
        <v>0</v>
      </c>
      <c r="T297">
        <f t="shared" si="58"/>
        <v>1</v>
      </c>
      <c r="U297" t="str">
        <f t="shared" si="59"/>
        <v/>
      </c>
      <c r="V297" t="str">
        <f t="shared" si="60"/>
        <v/>
      </c>
      <c r="W297">
        <f t="shared" si="61"/>
        <v>760.2</v>
      </c>
      <c r="X297">
        <f t="shared" si="55"/>
        <v>1</v>
      </c>
    </row>
    <row r="298" spans="1:24" x14ac:dyDescent="0.25">
      <c r="A298" s="8">
        <v>29</v>
      </c>
      <c r="B298" s="8">
        <v>24</v>
      </c>
      <c r="C298" s="8">
        <v>100</v>
      </c>
      <c r="D298" s="8">
        <v>1</v>
      </c>
      <c r="E298" s="8">
        <v>43</v>
      </c>
      <c r="F298" s="8">
        <v>383</v>
      </c>
      <c r="G298" s="8">
        <v>7.9</v>
      </c>
      <c r="H298" s="8">
        <v>2</v>
      </c>
      <c r="I298" s="8">
        <v>11</v>
      </c>
      <c r="J298" s="8">
        <v>54837120</v>
      </c>
      <c r="K298" s="8">
        <v>1</v>
      </c>
      <c r="L298" s="8">
        <v>1</v>
      </c>
      <c r="M298" s="8">
        <v>1</v>
      </c>
      <c r="N298" s="8">
        <v>6</v>
      </c>
      <c r="O298" s="8">
        <v>10</v>
      </c>
      <c r="P298" s="8"/>
      <c r="R298">
        <f t="shared" si="56"/>
        <v>1</v>
      </c>
      <c r="S298">
        <f t="shared" si="57"/>
        <v>0</v>
      </c>
      <c r="T298">
        <f t="shared" si="58"/>
        <v>0</v>
      </c>
      <c r="U298">
        <f t="shared" si="59"/>
        <v>43</v>
      </c>
      <c r="V298" t="str">
        <f t="shared" si="60"/>
        <v/>
      </c>
      <c r="W298" t="str">
        <f t="shared" si="61"/>
        <v/>
      </c>
      <c r="X298">
        <f t="shared" si="55"/>
        <v>1</v>
      </c>
    </row>
    <row r="299" spans="1:24" x14ac:dyDescent="0.25">
      <c r="A299" s="8">
        <v>29</v>
      </c>
      <c r="B299" s="8">
        <v>25</v>
      </c>
      <c r="C299" s="8">
        <v>100</v>
      </c>
      <c r="D299" s="8">
        <v>1</v>
      </c>
      <c r="E299" s="8">
        <v>34.799999999999997</v>
      </c>
      <c r="F299" s="8">
        <v>89</v>
      </c>
      <c r="G299" s="8">
        <v>7.1</v>
      </c>
      <c r="H299" s="8">
        <v>2</v>
      </c>
      <c r="I299" s="8">
        <v>9</v>
      </c>
      <c r="J299" s="8">
        <v>54837120</v>
      </c>
      <c r="K299" s="8">
        <v>6</v>
      </c>
      <c r="L299" s="8">
        <v>1</v>
      </c>
      <c r="M299" s="8">
        <v>1</v>
      </c>
      <c r="N299" s="8">
        <v>6</v>
      </c>
      <c r="O299" s="8">
        <v>10</v>
      </c>
      <c r="P299" s="8"/>
      <c r="R299">
        <f t="shared" si="56"/>
        <v>1</v>
      </c>
      <c r="S299">
        <f t="shared" si="57"/>
        <v>0</v>
      </c>
      <c r="T299">
        <f t="shared" si="58"/>
        <v>0</v>
      </c>
      <c r="U299">
        <f t="shared" si="59"/>
        <v>34.799999999999997</v>
      </c>
      <c r="V299" t="str">
        <f t="shared" si="60"/>
        <v/>
      </c>
      <c r="W299" t="str">
        <f t="shared" si="61"/>
        <v/>
      </c>
      <c r="X299">
        <f t="shared" si="55"/>
        <v>1</v>
      </c>
    </row>
    <row r="300" spans="1:24" x14ac:dyDescent="0.25">
      <c r="A300" s="8">
        <v>29</v>
      </c>
      <c r="B300" s="8">
        <v>26</v>
      </c>
      <c r="C300" s="8">
        <v>100</v>
      </c>
      <c r="D300" s="8">
        <v>1</v>
      </c>
      <c r="E300" s="8">
        <v>39.9</v>
      </c>
      <c r="F300" s="8">
        <v>132</v>
      </c>
      <c r="G300" s="8">
        <v>7.6</v>
      </c>
      <c r="H300" s="8">
        <v>2</v>
      </c>
      <c r="I300" s="8">
        <v>9</v>
      </c>
      <c r="J300" s="8">
        <v>54837120</v>
      </c>
      <c r="K300" s="8">
        <v>3</v>
      </c>
      <c r="L300" s="8">
        <v>1</v>
      </c>
      <c r="M300" s="8">
        <v>1</v>
      </c>
      <c r="N300" s="8">
        <v>7</v>
      </c>
      <c r="O300" s="8">
        <v>10</v>
      </c>
      <c r="P300" s="8"/>
      <c r="R300">
        <f t="shared" si="56"/>
        <v>1</v>
      </c>
      <c r="S300">
        <f t="shared" si="57"/>
        <v>0</v>
      </c>
      <c r="T300">
        <f t="shared" si="58"/>
        <v>0</v>
      </c>
      <c r="U300">
        <f t="shared" si="59"/>
        <v>39.9</v>
      </c>
      <c r="V300" t="str">
        <f t="shared" si="60"/>
        <v/>
      </c>
      <c r="W300" t="str">
        <f t="shared" si="61"/>
        <v/>
      </c>
      <c r="X300">
        <f t="shared" si="55"/>
        <v>1</v>
      </c>
    </row>
    <row r="301" spans="1:24" x14ac:dyDescent="0.25">
      <c r="A301" s="8">
        <v>29</v>
      </c>
      <c r="B301" s="8">
        <v>27</v>
      </c>
      <c r="C301" s="8">
        <v>91</v>
      </c>
      <c r="D301" s="8">
        <v>1</v>
      </c>
      <c r="E301" s="8">
        <v>51</v>
      </c>
      <c r="F301" s="8">
        <v>813</v>
      </c>
      <c r="G301" s="8">
        <v>8.6999999999999993</v>
      </c>
      <c r="H301" s="8">
        <v>2</v>
      </c>
      <c r="I301" s="8">
        <v>13</v>
      </c>
      <c r="J301" s="8">
        <v>54837120</v>
      </c>
      <c r="K301" s="8">
        <v>2</v>
      </c>
      <c r="L301" s="8">
        <v>2</v>
      </c>
      <c r="M301" s="8">
        <v>1</v>
      </c>
      <c r="N301" s="8">
        <v>8</v>
      </c>
      <c r="O301" s="8">
        <v>9</v>
      </c>
      <c r="P301" s="8"/>
      <c r="R301">
        <f t="shared" si="56"/>
        <v>1</v>
      </c>
      <c r="S301">
        <f t="shared" si="57"/>
        <v>0</v>
      </c>
      <c r="T301">
        <f t="shared" si="58"/>
        <v>0</v>
      </c>
      <c r="U301">
        <f t="shared" si="59"/>
        <v>51</v>
      </c>
      <c r="V301" t="str">
        <f t="shared" si="60"/>
        <v/>
      </c>
      <c r="W301" t="str">
        <f t="shared" si="61"/>
        <v/>
      </c>
      <c r="X301">
        <f t="shared" si="55"/>
        <v>1</v>
      </c>
    </row>
    <row r="302" spans="1:24" x14ac:dyDescent="0.25">
      <c r="A302" s="8">
        <v>29</v>
      </c>
      <c r="B302" s="8">
        <v>28</v>
      </c>
      <c r="C302" s="8">
        <v>100</v>
      </c>
      <c r="D302" s="8">
        <v>1</v>
      </c>
      <c r="E302" s="8">
        <v>45</v>
      </c>
      <c r="F302" s="8">
        <v>1440</v>
      </c>
      <c r="G302" s="8">
        <v>9.1999999999999993</v>
      </c>
      <c r="H302" s="8">
        <v>2</v>
      </c>
      <c r="I302" s="8">
        <v>13</v>
      </c>
      <c r="J302" s="8">
        <v>54837120</v>
      </c>
      <c r="K302" s="8">
        <v>1</v>
      </c>
      <c r="L302" s="8">
        <v>1</v>
      </c>
      <c r="M302" s="8">
        <v>1</v>
      </c>
      <c r="N302" s="8">
        <v>9</v>
      </c>
      <c r="O302" s="8">
        <v>10</v>
      </c>
      <c r="P302" s="8"/>
      <c r="R302">
        <f t="shared" si="56"/>
        <v>1</v>
      </c>
      <c r="S302">
        <f t="shared" si="57"/>
        <v>0</v>
      </c>
      <c r="T302">
        <f t="shared" si="58"/>
        <v>0</v>
      </c>
      <c r="U302">
        <f t="shared" si="59"/>
        <v>45</v>
      </c>
      <c r="V302" t="str">
        <f t="shared" si="60"/>
        <v/>
      </c>
      <c r="W302" t="str">
        <f t="shared" si="61"/>
        <v/>
      </c>
      <c r="X302">
        <f t="shared" si="55"/>
        <v>1</v>
      </c>
    </row>
    <row r="303" spans="1:24" x14ac:dyDescent="0.25">
      <c r="A303" s="8">
        <v>29</v>
      </c>
      <c r="B303" s="8">
        <v>29</v>
      </c>
      <c r="C303" s="8">
        <v>100</v>
      </c>
      <c r="D303" s="8">
        <v>1</v>
      </c>
      <c r="E303" s="8">
        <v>57.2</v>
      </c>
      <c r="F303" s="8">
        <v>1438</v>
      </c>
      <c r="G303" s="8">
        <v>12.1</v>
      </c>
      <c r="H303" s="8">
        <v>3</v>
      </c>
      <c r="I303" s="8">
        <v>18</v>
      </c>
      <c r="J303" s="8">
        <v>54837120</v>
      </c>
      <c r="K303" s="8">
        <v>1</v>
      </c>
      <c r="L303" s="8">
        <v>1</v>
      </c>
      <c r="M303" s="8">
        <v>1</v>
      </c>
      <c r="N303" s="8">
        <v>10</v>
      </c>
      <c r="O303" s="8">
        <v>10</v>
      </c>
      <c r="P303" s="8"/>
      <c r="R303">
        <f t="shared" si="56"/>
        <v>1</v>
      </c>
      <c r="S303">
        <f t="shared" si="57"/>
        <v>0</v>
      </c>
      <c r="T303">
        <f t="shared" si="58"/>
        <v>0</v>
      </c>
      <c r="U303">
        <f t="shared" si="59"/>
        <v>57.2</v>
      </c>
      <c r="V303" t="str">
        <f t="shared" si="60"/>
        <v/>
      </c>
      <c r="W303" t="str">
        <f t="shared" si="61"/>
        <v/>
      </c>
      <c r="X303">
        <f t="shared" si="55"/>
        <v>1</v>
      </c>
    </row>
    <row r="304" spans="1:24" x14ac:dyDescent="0.25">
      <c r="A304" s="8">
        <v>30</v>
      </c>
      <c r="B304" s="8">
        <v>0</v>
      </c>
      <c r="C304" s="8">
        <v>98</v>
      </c>
      <c r="D304" s="8">
        <v>1</v>
      </c>
      <c r="E304" s="8">
        <v>30.7</v>
      </c>
      <c r="F304" s="8">
        <v>1312</v>
      </c>
      <c r="G304" s="8">
        <v>8.1</v>
      </c>
      <c r="H304" s="8">
        <v>2</v>
      </c>
      <c r="I304" s="8">
        <v>11</v>
      </c>
      <c r="J304" s="8">
        <v>54837120</v>
      </c>
      <c r="K304" s="8">
        <v>1</v>
      </c>
      <c r="L304" s="8">
        <v>1</v>
      </c>
      <c r="M304" s="8">
        <v>1</v>
      </c>
      <c r="N304" s="8">
        <v>6</v>
      </c>
      <c r="O304" s="8">
        <v>10</v>
      </c>
      <c r="P304" s="8"/>
      <c r="R304">
        <f t="shared" si="56"/>
        <v>1</v>
      </c>
      <c r="S304">
        <f t="shared" si="57"/>
        <v>0</v>
      </c>
      <c r="T304">
        <f t="shared" si="58"/>
        <v>0</v>
      </c>
      <c r="U304">
        <f t="shared" si="59"/>
        <v>30.7</v>
      </c>
      <c r="V304" t="str">
        <f t="shared" si="60"/>
        <v/>
      </c>
      <c r="W304" t="str">
        <f t="shared" si="61"/>
        <v/>
      </c>
      <c r="X304">
        <f t="shared" si="55"/>
        <v>1</v>
      </c>
    </row>
    <row r="305" spans="1:24" x14ac:dyDescent="0.25">
      <c r="A305" s="8">
        <v>30</v>
      </c>
      <c r="B305" s="8">
        <v>1</v>
      </c>
      <c r="C305" s="8">
        <v>69</v>
      </c>
      <c r="D305" s="8">
        <v>1</v>
      </c>
      <c r="E305" s="8">
        <v>33.700000000000003</v>
      </c>
      <c r="F305" s="8">
        <v>181</v>
      </c>
      <c r="G305" s="8">
        <v>6.8</v>
      </c>
      <c r="H305" s="8">
        <v>2</v>
      </c>
      <c r="I305" s="8">
        <v>10</v>
      </c>
      <c r="J305" s="8">
        <v>54837120</v>
      </c>
      <c r="K305" s="8">
        <v>2</v>
      </c>
      <c r="L305" s="8">
        <v>2</v>
      </c>
      <c r="M305" s="8">
        <v>1</v>
      </c>
      <c r="N305" s="8">
        <v>7</v>
      </c>
      <c r="O305" s="8">
        <v>10</v>
      </c>
      <c r="P305" s="8"/>
      <c r="R305">
        <f t="shared" si="56"/>
        <v>1</v>
      </c>
      <c r="S305">
        <f t="shared" si="57"/>
        <v>0</v>
      </c>
      <c r="T305">
        <f t="shared" si="58"/>
        <v>0</v>
      </c>
      <c r="U305">
        <f t="shared" si="59"/>
        <v>33.700000000000003</v>
      </c>
      <c r="V305" t="str">
        <f t="shared" si="60"/>
        <v/>
      </c>
      <c r="W305" t="str">
        <f t="shared" si="61"/>
        <v/>
      </c>
      <c r="X305">
        <f t="shared" si="55"/>
        <v>1</v>
      </c>
    </row>
    <row r="306" spans="1:24" x14ac:dyDescent="0.25">
      <c r="A306" s="8">
        <v>30</v>
      </c>
      <c r="B306" s="8">
        <v>2</v>
      </c>
      <c r="C306" s="8">
        <v>100</v>
      </c>
      <c r="D306" s="8">
        <v>1</v>
      </c>
      <c r="E306" s="8">
        <v>61.3</v>
      </c>
      <c r="F306" s="8">
        <v>1108</v>
      </c>
      <c r="G306" s="8">
        <v>13.2</v>
      </c>
      <c r="H306" s="8">
        <v>2</v>
      </c>
      <c r="I306" s="8">
        <v>18</v>
      </c>
      <c r="J306" s="8">
        <v>54837120</v>
      </c>
      <c r="K306" s="8">
        <v>1</v>
      </c>
      <c r="L306" s="8">
        <v>1</v>
      </c>
      <c r="M306" s="8">
        <v>1</v>
      </c>
      <c r="N306" s="8">
        <v>9</v>
      </c>
      <c r="O306" s="8">
        <v>10</v>
      </c>
      <c r="P306" s="8"/>
      <c r="R306">
        <f t="shared" si="56"/>
        <v>1</v>
      </c>
      <c r="S306">
        <f t="shared" si="57"/>
        <v>0</v>
      </c>
      <c r="T306">
        <f t="shared" si="58"/>
        <v>0</v>
      </c>
      <c r="U306">
        <f t="shared" si="59"/>
        <v>61.3</v>
      </c>
      <c r="V306" t="str">
        <f t="shared" si="60"/>
        <v/>
      </c>
      <c r="W306" t="str">
        <f t="shared" si="61"/>
        <v/>
      </c>
      <c r="X306">
        <f t="shared" si="55"/>
        <v>1</v>
      </c>
    </row>
    <row r="307" spans="1:24" x14ac:dyDescent="0.25">
      <c r="A307" s="8">
        <v>30</v>
      </c>
      <c r="B307" s="8">
        <v>3</v>
      </c>
      <c r="C307" s="8">
        <v>100</v>
      </c>
      <c r="D307" s="8">
        <v>1</v>
      </c>
      <c r="E307" s="8">
        <v>22.4</v>
      </c>
      <c r="F307" s="8">
        <v>350</v>
      </c>
      <c r="G307" s="8">
        <v>8.1999999999999993</v>
      </c>
      <c r="H307" s="8">
        <v>2</v>
      </c>
      <c r="I307" s="8">
        <v>11</v>
      </c>
      <c r="J307" s="8">
        <v>54837120</v>
      </c>
      <c r="K307" s="8">
        <v>3</v>
      </c>
      <c r="L307" s="8">
        <v>3</v>
      </c>
      <c r="M307" s="8">
        <v>3</v>
      </c>
      <c r="N307" s="8">
        <v>9</v>
      </c>
      <c r="O307" s="8">
        <v>10</v>
      </c>
      <c r="P307" s="8"/>
      <c r="R307">
        <f t="shared" si="56"/>
        <v>1</v>
      </c>
      <c r="S307">
        <f t="shared" si="57"/>
        <v>0</v>
      </c>
      <c r="T307">
        <f t="shared" si="58"/>
        <v>0</v>
      </c>
      <c r="U307">
        <f t="shared" si="59"/>
        <v>22.4</v>
      </c>
      <c r="V307" t="str">
        <f t="shared" si="60"/>
        <v/>
      </c>
      <c r="W307" t="str">
        <f t="shared" si="61"/>
        <v/>
      </c>
      <c r="X307">
        <f t="shared" si="55"/>
        <v>1</v>
      </c>
    </row>
    <row r="308" spans="1:24" x14ac:dyDescent="0.25">
      <c r="A308" s="8">
        <v>30</v>
      </c>
      <c r="B308" s="8">
        <v>4</v>
      </c>
      <c r="C308" s="8">
        <v>43</v>
      </c>
      <c r="D308" s="8">
        <v>1</v>
      </c>
      <c r="E308" s="8">
        <v>45.8</v>
      </c>
      <c r="F308" s="8">
        <v>793</v>
      </c>
      <c r="G308" s="8">
        <v>11</v>
      </c>
      <c r="H308" s="8">
        <v>2</v>
      </c>
      <c r="I308" s="8">
        <v>15</v>
      </c>
      <c r="J308" s="8">
        <v>54837120</v>
      </c>
      <c r="K308" s="8">
        <v>1</v>
      </c>
      <c r="L308" s="8">
        <v>1</v>
      </c>
      <c r="M308" s="8">
        <v>1</v>
      </c>
      <c r="N308" s="8">
        <v>9</v>
      </c>
      <c r="O308" s="8">
        <v>10</v>
      </c>
      <c r="P308" s="8"/>
      <c r="R308">
        <f t="shared" si="56"/>
        <v>1</v>
      </c>
      <c r="S308">
        <f t="shared" si="57"/>
        <v>0</v>
      </c>
      <c r="T308">
        <f t="shared" si="58"/>
        <v>0</v>
      </c>
      <c r="U308">
        <f t="shared" si="59"/>
        <v>45.8</v>
      </c>
      <c r="V308" t="str">
        <f t="shared" si="60"/>
        <v/>
      </c>
      <c r="W308" t="str">
        <f t="shared" si="61"/>
        <v/>
      </c>
      <c r="X308">
        <f t="shared" si="55"/>
        <v>1</v>
      </c>
    </row>
    <row r="309" spans="1:24" x14ac:dyDescent="0.25">
      <c r="A309" s="8">
        <v>30</v>
      </c>
      <c r="B309" s="8">
        <v>5</v>
      </c>
      <c r="C309" s="8">
        <v>100</v>
      </c>
      <c r="D309" s="8">
        <v>3</v>
      </c>
      <c r="E309" s="8">
        <v>943.2</v>
      </c>
      <c r="F309" s="8">
        <v>947</v>
      </c>
      <c r="G309" s="8">
        <v>9.6999999999999993</v>
      </c>
      <c r="H309" s="8">
        <v>3</v>
      </c>
      <c r="I309" s="8">
        <v>14</v>
      </c>
      <c r="J309" s="8">
        <v>1535439360</v>
      </c>
      <c r="K309" s="8">
        <v>1</v>
      </c>
      <c r="L309" s="8">
        <v>1</v>
      </c>
      <c r="M309" s="8">
        <v>1</v>
      </c>
      <c r="N309" s="8">
        <v>8</v>
      </c>
      <c r="O309" s="8">
        <v>10</v>
      </c>
      <c r="P309" s="8"/>
      <c r="R309">
        <f t="shared" si="56"/>
        <v>0</v>
      </c>
      <c r="S309">
        <f t="shared" si="57"/>
        <v>0</v>
      </c>
      <c r="T309">
        <f t="shared" si="58"/>
        <v>1</v>
      </c>
      <c r="U309" t="str">
        <f t="shared" si="59"/>
        <v/>
      </c>
      <c r="V309" t="str">
        <f t="shared" si="60"/>
        <v/>
      </c>
      <c r="W309">
        <f t="shared" si="61"/>
        <v>943.2</v>
      </c>
      <c r="X309">
        <f t="shared" si="55"/>
        <v>1</v>
      </c>
    </row>
    <row r="310" spans="1:24" x14ac:dyDescent="0.25">
      <c r="A310" s="8">
        <v>30</v>
      </c>
      <c r="B310" s="8">
        <v>6</v>
      </c>
      <c r="C310" s="8">
        <v>41</v>
      </c>
      <c r="D310" s="8">
        <v>1</v>
      </c>
      <c r="E310" s="8">
        <v>38.9</v>
      </c>
      <c r="F310" s="8">
        <v>192</v>
      </c>
      <c r="G310" s="8">
        <v>8.1</v>
      </c>
      <c r="H310" s="8">
        <v>2</v>
      </c>
      <c r="I310" s="8">
        <v>12</v>
      </c>
      <c r="J310" s="8">
        <v>54837120</v>
      </c>
      <c r="K310" s="8">
        <v>3</v>
      </c>
      <c r="L310" s="8">
        <v>3</v>
      </c>
      <c r="M310" s="8">
        <v>1</v>
      </c>
      <c r="N310" s="8">
        <v>10</v>
      </c>
      <c r="O310" s="8">
        <v>10</v>
      </c>
      <c r="P310" s="8"/>
      <c r="R310">
        <f t="shared" si="56"/>
        <v>1</v>
      </c>
      <c r="S310">
        <f t="shared" si="57"/>
        <v>0</v>
      </c>
      <c r="T310">
        <f t="shared" si="58"/>
        <v>0</v>
      </c>
      <c r="U310">
        <f t="shared" si="59"/>
        <v>38.9</v>
      </c>
      <c r="V310" t="str">
        <f t="shared" si="60"/>
        <v/>
      </c>
      <c r="W310" t="str">
        <f t="shared" si="61"/>
        <v/>
      </c>
      <c r="X310">
        <f t="shared" si="55"/>
        <v>1</v>
      </c>
    </row>
    <row r="311" spans="1:24" x14ac:dyDescent="0.25">
      <c r="A311" s="8">
        <v>30</v>
      </c>
      <c r="B311" s="8">
        <v>7</v>
      </c>
      <c r="C311" s="8">
        <v>100</v>
      </c>
      <c r="D311" s="8">
        <v>1</v>
      </c>
      <c r="E311" s="8">
        <v>43.9</v>
      </c>
      <c r="F311" s="8">
        <v>518</v>
      </c>
      <c r="G311" s="8">
        <v>8.6</v>
      </c>
      <c r="H311" s="8">
        <v>2</v>
      </c>
      <c r="I311" s="8">
        <v>12</v>
      </c>
      <c r="J311" s="8">
        <v>54837120</v>
      </c>
      <c r="K311" s="8">
        <v>3</v>
      </c>
      <c r="L311" s="8">
        <v>3</v>
      </c>
      <c r="M311" s="8">
        <v>1</v>
      </c>
      <c r="N311" s="8">
        <v>7</v>
      </c>
      <c r="O311" s="8">
        <v>10</v>
      </c>
      <c r="P311" s="8"/>
      <c r="R311">
        <f t="shared" si="56"/>
        <v>1</v>
      </c>
      <c r="S311">
        <f t="shared" si="57"/>
        <v>0</v>
      </c>
      <c r="T311">
        <f t="shared" si="58"/>
        <v>0</v>
      </c>
      <c r="U311">
        <f t="shared" si="59"/>
        <v>43.9</v>
      </c>
      <c r="V311" t="str">
        <f t="shared" si="60"/>
        <v/>
      </c>
      <c r="W311" t="str">
        <f t="shared" si="61"/>
        <v/>
      </c>
      <c r="X311">
        <f t="shared" si="55"/>
        <v>1</v>
      </c>
    </row>
    <row r="312" spans="1:24" x14ac:dyDescent="0.25">
      <c r="A312" s="8">
        <v>30</v>
      </c>
      <c r="B312" s="8">
        <v>8</v>
      </c>
      <c r="C312" s="8">
        <v>35</v>
      </c>
      <c r="D312" s="8">
        <v>1</v>
      </c>
      <c r="E312" s="8">
        <v>49.1</v>
      </c>
      <c r="F312" s="8">
        <v>1042</v>
      </c>
      <c r="G312" s="8">
        <v>8.6</v>
      </c>
      <c r="H312" s="8">
        <v>2</v>
      </c>
      <c r="I312" s="8">
        <v>12</v>
      </c>
      <c r="J312" s="8">
        <v>54837120</v>
      </c>
      <c r="K312" s="8">
        <v>1</v>
      </c>
      <c r="L312" s="8">
        <v>1</v>
      </c>
      <c r="M312" s="8">
        <v>1</v>
      </c>
      <c r="N312" s="8">
        <v>8</v>
      </c>
      <c r="O312" s="8">
        <v>10</v>
      </c>
      <c r="P312" s="8"/>
      <c r="R312">
        <f t="shared" si="56"/>
        <v>1</v>
      </c>
      <c r="S312">
        <f t="shared" si="57"/>
        <v>0</v>
      </c>
      <c r="T312">
        <f t="shared" si="58"/>
        <v>0</v>
      </c>
      <c r="U312">
        <f t="shared" si="59"/>
        <v>49.1</v>
      </c>
      <c r="V312" t="str">
        <f t="shared" si="60"/>
        <v/>
      </c>
      <c r="W312" t="str">
        <f t="shared" si="61"/>
        <v/>
      </c>
      <c r="X312">
        <f t="shared" si="55"/>
        <v>1</v>
      </c>
    </row>
    <row r="313" spans="1:24" x14ac:dyDescent="0.25">
      <c r="A313" s="8">
        <v>30</v>
      </c>
      <c r="B313" s="8">
        <v>9</v>
      </c>
      <c r="C313" s="8">
        <v>100</v>
      </c>
      <c r="D313" s="8">
        <v>1</v>
      </c>
      <c r="E313" s="8">
        <v>46.9</v>
      </c>
      <c r="F313" s="8">
        <v>1425</v>
      </c>
      <c r="G313" s="8">
        <v>10.199999999999999</v>
      </c>
      <c r="H313" s="8">
        <v>2</v>
      </c>
      <c r="I313" s="8">
        <v>14</v>
      </c>
      <c r="J313" s="8">
        <v>54837120</v>
      </c>
      <c r="K313" s="8">
        <v>2</v>
      </c>
      <c r="L313" s="8">
        <v>2</v>
      </c>
      <c r="M313" s="8">
        <v>1</v>
      </c>
      <c r="N313" s="8">
        <v>10</v>
      </c>
      <c r="O313" s="8">
        <v>10</v>
      </c>
      <c r="P313" s="8"/>
      <c r="R313">
        <f t="shared" si="56"/>
        <v>1</v>
      </c>
      <c r="S313">
        <f t="shared" si="57"/>
        <v>0</v>
      </c>
      <c r="T313">
        <f t="shared" si="58"/>
        <v>0</v>
      </c>
      <c r="U313">
        <f t="shared" si="59"/>
        <v>46.9</v>
      </c>
      <c r="V313" t="str">
        <f t="shared" si="60"/>
        <v/>
      </c>
      <c r="W313" t="str">
        <f t="shared" si="61"/>
        <v/>
      </c>
      <c r="X313">
        <f t="shared" si="55"/>
        <v>1</v>
      </c>
    </row>
    <row r="314" spans="1:24" x14ac:dyDescent="0.25">
      <c r="A314" s="8">
        <v>30</v>
      </c>
      <c r="B314" s="8">
        <v>10</v>
      </c>
      <c r="C314" s="8">
        <v>100</v>
      </c>
      <c r="D314" s="8">
        <v>1</v>
      </c>
      <c r="E314" s="8">
        <v>26.4</v>
      </c>
      <c r="F314" s="8">
        <v>3088</v>
      </c>
      <c r="G314" s="8">
        <v>10.6</v>
      </c>
      <c r="H314" s="8">
        <v>2</v>
      </c>
      <c r="I314" s="8">
        <v>14</v>
      </c>
      <c r="J314" s="8">
        <v>54837120</v>
      </c>
      <c r="K314" s="8">
        <v>1</v>
      </c>
      <c r="L314" s="8">
        <v>1</v>
      </c>
      <c r="M314" s="8">
        <v>1</v>
      </c>
      <c r="N314" s="8">
        <v>8</v>
      </c>
      <c r="O314" s="8">
        <v>10</v>
      </c>
      <c r="P314" s="8"/>
      <c r="R314">
        <f t="shared" si="56"/>
        <v>1</v>
      </c>
      <c r="S314">
        <f t="shared" si="57"/>
        <v>0</v>
      </c>
      <c r="T314">
        <f t="shared" si="58"/>
        <v>0</v>
      </c>
      <c r="U314">
        <f t="shared" si="59"/>
        <v>26.4</v>
      </c>
      <c r="V314" t="str">
        <f t="shared" si="60"/>
        <v/>
      </c>
      <c r="W314" t="str">
        <f t="shared" si="61"/>
        <v/>
      </c>
      <c r="X314">
        <f t="shared" si="55"/>
        <v>1</v>
      </c>
    </row>
    <row r="315" spans="1:24" x14ac:dyDescent="0.25">
      <c r="A315" s="8">
        <v>30</v>
      </c>
      <c r="B315" s="8">
        <v>11</v>
      </c>
      <c r="C315" s="8">
        <v>100</v>
      </c>
      <c r="D315" s="8">
        <v>1</v>
      </c>
      <c r="E315" s="8">
        <v>57.3</v>
      </c>
      <c r="F315" s="8">
        <v>1357</v>
      </c>
      <c r="G315" s="8">
        <v>9.6999999999999993</v>
      </c>
      <c r="H315" s="8">
        <v>2</v>
      </c>
      <c r="I315" s="8">
        <v>13</v>
      </c>
      <c r="J315" s="8">
        <v>54837120</v>
      </c>
      <c r="K315" s="8">
        <v>1</v>
      </c>
      <c r="L315" s="8">
        <v>1</v>
      </c>
      <c r="M315" s="8">
        <v>1</v>
      </c>
      <c r="N315" s="8">
        <v>9</v>
      </c>
      <c r="O315" s="8">
        <v>10</v>
      </c>
      <c r="P315" s="8"/>
      <c r="R315">
        <f t="shared" si="56"/>
        <v>1</v>
      </c>
      <c r="S315">
        <f t="shared" si="57"/>
        <v>0</v>
      </c>
      <c r="T315">
        <f t="shared" si="58"/>
        <v>0</v>
      </c>
      <c r="U315">
        <f t="shared" si="59"/>
        <v>57.3</v>
      </c>
      <c r="V315" t="str">
        <f t="shared" si="60"/>
        <v/>
      </c>
      <c r="W315" t="str">
        <f t="shared" si="61"/>
        <v/>
      </c>
      <c r="X315">
        <f t="shared" si="55"/>
        <v>1</v>
      </c>
    </row>
    <row r="316" spans="1:24" x14ac:dyDescent="0.25">
      <c r="A316" s="8">
        <v>30</v>
      </c>
      <c r="B316" s="8">
        <v>12</v>
      </c>
      <c r="C316" s="8">
        <v>58</v>
      </c>
      <c r="D316" s="8">
        <v>1</v>
      </c>
      <c r="E316" s="8">
        <v>53.2</v>
      </c>
      <c r="F316" s="8">
        <v>1050</v>
      </c>
      <c r="G316" s="8">
        <v>9.3000000000000007</v>
      </c>
      <c r="H316" s="8">
        <v>2</v>
      </c>
      <c r="I316" s="8">
        <v>13</v>
      </c>
      <c r="J316" s="8">
        <v>54837120</v>
      </c>
      <c r="K316" s="8">
        <v>3</v>
      </c>
      <c r="L316" s="8">
        <v>3</v>
      </c>
      <c r="M316" s="8">
        <v>1</v>
      </c>
      <c r="N316" s="8">
        <v>9</v>
      </c>
      <c r="O316" s="8">
        <v>10</v>
      </c>
      <c r="P316" s="8"/>
      <c r="R316">
        <f t="shared" si="56"/>
        <v>1</v>
      </c>
      <c r="S316">
        <f t="shared" si="57"/>
        <v>0</v>
      </c>
      <c r="T316">
        <f t="shared" si="58"/>
        <v>0</v>
      </c>
      <c r="U316">
        <f t="shared" si="59"/>
        <v>53.2</v>
      </c>
      <c r="V316" t="str">
        <f t="shared" si="60"/>
        <v/>
      </c>
      <c r="W316" t="str">
        <f t="shared" si="61"/>
        <v/>
      </c>
      <c r="X316">
        <f t="shared" si="55"/>
        <v>1</v>
      </c>
    </row>
    <row r="317" spans="1:24" x14ac:dyDescent="0.25">
      <c r="A317" s="8">
        <v>30</v>
      </c>
      <c r="B317" s="8">
        <v>13</v>
      </c>
      <c r="C317" s="8">
        <v>100</v>
      </c>
      <c r="D317" s="8">
        <v>2</v>
      </c>
      <c r="E317" s="8">
        <v>42.9</v>
      </c>
      <c r="F317" s="8">
        <v>875</v>
      </c>
      <c r="G317" s="8">
        <v>8.6</v>
      </c>
      <c r="H317" s="8">
        <v>2</v>
      </c>
      <c r="I317" s="8">
        <v>12</v>
      </c>
      <c r="J317" s="8">
        <v>109674240</v>
      </c>
      <c r="K317" s="8">
        <v>2</v>
      </c>
      <c r="L317" s="8">
        <v>2</v>
      </c>
      <c r="M317" s="8">
        <v>1</v>
      </c>
      <c r="N317" s="8">
        <v>7</v>
      </c>
      <c r="O317" s="8">
        <v>10</v>
      </c>
      <c r="P317" s="8"/>
      <c r="R317">
        <f t="shared" si="56"/>
        <v>0</v>
      </c>
      <c r="S317">
        <f t="shared" si="57"/>
        <v>1</v>
      </c>
      <c r="T317">
        <f t="shared" si="58"/>
        <v>0</v>
      </c>
      <c r="U317" t="str">
        <f t="shared" si="59"/>
        <v/>
      </c>
      <c r="V317">
        <f t="shared" si="60"/>
        <v>42.9</v>
      </c>
      <c r="W317" t="str">
        <f t="shared" si="61"/>
        <v/>
      </c>
      <c r="X317">
        <f t="shared" si="55"/>
        <v>1</v>
      </c>
    </row>
    <row r="318" spans="1:24" x14ac:dyDescent="0.25">
      <c r="A318" s="8">
        <v>30</v>
      </c>
      <c r="B318" s="8">
        <v>14</v>
      </c>
      <c r="C318" s="8">
        <v>100</v>
      </c>
      <c r="D318" s="8">
        <v>1</v>
      </c>
      <c r="E318" s="8">
        <v>21.4</v>
      </c>
      <c r="F318" s="8">
        <v>501</v>
      </c>
      <c r="G318" s="8">
        <v>6.9</v>
      </c>
      <c r="H318" s="8">
        <v>3</v>
      </c>
      <c r="I318" s="8">
        <v>10</v>
      </c>
      <c r="J318" s="8">
        <v>54837120</v>
      </c>
      <c r="K318" s="8">
        <v>1</v>
      </c>
      <c r="L318" s="8">
        <v>1</v>
      </c>
      <c r="M318" s="8">
        <v>1</v>
      </c>
      <c r="N318" s="8">
        <v>6</v>
      </c>
      <c r="O318" s="8">
        <v>10</v>
      </c>
      <c r="P318" s="8"/>
      <c r="R318">
        <f t="shared" si="56"/>
        <v>1</v>
      </c>
      <c r="S318">
        <f t="shared" si="57"/>
        <v>0</v>
      </c>
      <c r="T318">
        <f t="shared" si="58"/>
        <v>0</v>
      </c>
      <c r="U318">
        <f t="shared" si="59"/>
        <v>21.4</v>
      </c>
      <c r="V318" t="str">
        <f t="shared" si="60"/>
        <v/>
      </c>
      <c r="W318" t="str">
        <f t="shared" si="61"/>
        <v/>
      </c>
      <c r="X318">
        <f t="shared" si="55"/>
        <v>1</v>
      </c>
    </row>
    <row r="319" spans="1:24" x14ac:dyDescent="0.25">
      <c r="A319" s="8">
        <v>30</v>
      </c>
      <c r="B319" s="8">
        <v>15</v>
      </c>
      <c r="C319" s="8">
        <v>92</v>
      </c>
      <c r="D319" s="8">
        <v>1</v>
      </c>
      <c r="E319" s="8">
        <v>40.700000000000003</v>
      </c>
      <c r="F319" s="8">
        <v>1473</v>
      </c>
      <c r="G319" s="8">
        <v>8.4</v>
      </c>
      <c r="H319" s="8">
        <v>2</v>
      </c>
      <c r="I319" s="8">
        <v>12</v>
      </c>
      <c r="J319" s="8">
        <v>54837120</v>
      </c>
      <c r="K319" s="8">
        <v>1</v>
      </c>
      <c r="L319" s="8">
        <v>1</v>
      </c>
      <c r="M319" s="8">
        <v>1</v>
      </c>
      <c r="N319" s="8">
        <v>7</v>
      </c>
      <c r="O319" s="8">
        <v>9</v>
      </c>
      <c r="P319" s="8"/>
      <c r="R319">
        <f t="shared" si="56"/>
        <v>1</v>
      </c>
      <c r="S319">
        <f t="shared" si="57"/>
        <v>0</v>
      </c>
      <c r="T319">
        <f t="shared" si="58"/>
        <v>0</v>
      </c>
      <c r="U319">
        <f t="shared" si="59"/>
        <v>40.700000000000003</v>
      </c>
      <c r="V319" t="str">
        <f t="shared" si="60"/>
        <v/>
      </c>
      <c r="W319" t="str">
        <f t="shared" si="61"/>
        <v/>
      </c>
      <c r="X319">
        <f t="shared" si="55"/>
        <v>1</v>
      </c>
    </row>
    <row r="320" spans="1:24" x14ac:dyDescent="0.25">
      <c r="A320" s="8">
        <v>30</v>
      </c>
      <c r="B320" s="8">
        <v>16</v>
      </c>
      <c r="C320" s="8">
        <v>45</v>
      </c>
      <c r="D320" s="8">
        <v>1</v>
      </c>
      <c r="E320" s="8">
        <v>29.6</v>
      </c>
      <c r="F320" s="8">
        <v>158</v>
      </c>
      <c r="G320" s="8">
        <v>6.4</v>
      </c>
      <c r="H320" s="8">
        <v>2</v>
      </c>
      <c r="I320" s="8">
        <v>11</v>
      </c>
      <c r="J320" s="8">
        <v>54837120</v>
      </c>
      <c r="K320" s="8">
        <v>1</v>
      </c>
      <c r="L320" s="8">
        <v>1</v>
      </c>
      <c r="M320" s="8">
        <v>1</v>
      </c>
      <c r="N320" s="8">
        <v>8</v>
      </c>
      <c r="O320" s="8">
        <v>10</v>
      </c>
      <c r="P320" s="8"/>
      <c r="R320">
        <f t="shared" si="56"/>
        <v>1</v>
      </c>
      <c r="S320">
        <f t="shared" si="57"/>
        <v>0</v>
      </c>
      <c r="T320">
        <f t="shared" si="58"/>
        <v>0</v>
      </c>
      <c r="U320">
        <f t="shared" si="59"/>
        <v>29.6</v>
      </c>
      <c r="V320" t="str">
        <f t="shared" si="60"/>
        <v/>
      </c>
      <c r="W320" t="str">
        <f t="shared" si="61"/>
        <v/>
      </c>
      <c r="X320">
        <f t="shared" si="55"/>
        <v>1</v>
      </c>
    </row>
    <row r="321" spans="1:24" x14ac:dyDescent="0.25">
      <c r="A321" s="8">
        <v>30</v>
      </c>
      <c r="B321" s="8">
        <v>17</v>
      </c>
      <c r="C321" s="8">
        <v>100</v>
      </c>
      <c r="D321" s="8">
        <v>1</v>
      </c>
      <c r="E321" s="8">
        <v>31.4</v>
      </c>
      <c r="F321" s="8">
        <v>908</v>
      </c>
      <c r="G321" s="8">
        <v>7.9</v>
      </c>
      <c r="H321" s="8">
        <v>2</v>
      </c>
      <c r="I321" s="8">
        <v>11</v>
      </c>
      <c r="J321" s="8">
        <v>54837120</v>
      </c>
      <c r="K321" s="8">
        <v>1</v>
      </c>
      <c r="L321" s="8">
        <v>1</v>
      </c>
      <c r="M321" s="8">
        <v>1</v>
      </c>
      <c r="N321" s="8">
        <v>7</v>
      </c>
      <c r="O321" s="8">
        <v>10</v>
      </c>
      <c r="P321" s="8"/>
      <c r="R321">
        <f t="shared" si="56"/>
        <v>1</v>
      </c>
      <c r="S321">
        <f t="shared" si="57"/>
        <v>0</v>
      </c>
      <c r="T321">
        <f t="shared" si="58"/>
        <v>0</v>
      </c>
      <c r="U321">
        <f t="shared" si="59"/>
        <v>31.4</v>
      </c>
      <c r="V321" t="str">
        <f t="shared" si="60"/>
        <v/>
      </c>
      <c r="W321" t="str">
        <f t="shared" si="61"/>
        <v/>
      </c>
      <c r="X321">
        <f t="shared" si="55"/>
        <v>1</v>
      </c>
    </row>
    <row r="322" spans="1:24" x14ac:dyDescent="0.25">
      <c r="A322" s="8">
        <v>30</v>
      </c>
      <c r="B322" s="8">
        <v>18</v>
      </c>
      <c r="C322" s="8">
        <v>100</v>
      </c>
      <c r="D322" s="8">
        <v>1</v>
      </c>
      <c r="E322" s="8">
        <v>57.3</v>
      </c>
      <c r="F322" s="8">
        <v>400</v>
      </c>
      <c r="G322" s="8">
        <v>8.8000000000000007</v>
      </c>
      <c r="H322" s="8">
        <v>2</v>
      </c>
      <c r="I322" s="8">
        <v>13</v>
      </c>
      <c r="J322" s="8">
        <v>54837120</v>
      </c>
      <c r="K322" s="8">
        <v>2</v>
      </c>
      <c r="L322" s="8">
        <v>1</v>
      </c>
      <c r="M322" s="8">
        <v>1</v>
      </c>
      <c r="N322" s="8">
        <v>9</v>
      </c>
      <c r="O322" s="8">
        <v>10</v>
      </c>
      <c r="P322" s="8"/>
      <c r="R322">
        <f t="shared" si="56"/>
        <v>1</v>
      </c>
      <c r="S322">
        <f t="shared" si="57"/>
        <v>0</v>
      </c>
      <c r="T322">
        <f t="shared" si="58"/>
        <v>0</v>
      </c>
      <c r="U322">
        <f t="shared" si="59"/>
        <v>57.3</v>
      </c>
      <c r="V322" t="str">
        <f t="shared" si="60"/>
        <v/>
      </c>
      <c r="W322" t="str">
        <f t="shared" si="61"/>
        <v/>
      </c>
      <c r="X322">
        <f t="shared" si="55"/>
        <v>1</v>
      </c>
    </row>
    <row r="323" spans="1:24" x14ac:dyDescent="0.25">
      <c r="A323" s="8">
        <v>30</v>
      </c>
      <c r="B323" s="8">
        <v>19</v>
      </c>
      <c r="C323" s="8">
        <v>95</v>
      </c>
      <c r="D323" s="8">
        <v>2</v>
      </c>
      <c r="E323" s="8">
        <v>67.400000000000006</v>
      </c>
      <c r="F323" s="8">
        <v>660</v>
      </c>
      <c r="G323" s="8">
        <v>8.5</v>
      </c>
      <c r="H323" s="8">
        <v>3</v>
      </c>
      <c r="I323" s="8">
        <v>12</v>
      </c>
      <c r="J323" s="8">
        <v>109674240</v>
      </c>
      <c r="K323" s="8">
        <v>2</v>
      </c>
      <c r="L323" s="8">
        <v>2</v>
      </c>
      <c r="M323" s="8">
        <v>1</v>
      </c>
      <c r="N323" s="8">
        <v>9</v>
      </c>
      <c r="O323" s="8">
        <v>10</v>
      </c>
      <c r="P323" s="8"/>
      <c r="R323">
        <f t="shared" si="56"/>
        <v>0</v>
      </c>
      <c r="S323">
        <f t="shared" si="57"/>
        <v>1</v>
      </c>
      <c r="T323">
        <f t="shared" si="58"/>
        <v>0</v>
      </c>
      <c r="U323" t="str">
        <f t="shared" si="59"/>
        <v/>
      </c>
      <c r="V323">
        <f t="shared" si="60"/>
        <v>67.400000000000006</v>
      </c>
      <c r="W323" t="str">
        <f t="shared" si="61"/>
        <v/>
      </c>
      <c r="X323">
        <f t="shared" si="55"/>
        <v>1</v>
      </c>
    </row>
    <row r="324" spans="1:24" x14ac:dyDescent="0.25">
      <c r="A324" s="8">
        <v>30</v>
      </c>
      <c r="B324" s="8">
        <v>20</v>
      </c>
      <c r="C324" s="8">
        <v>100</v>
      </c>
      <c r="D324" s="8">
        <v>1</v>
      </c>
      <c r="E324" s="8">
        <v>29.5</v>
      </c>
      <c r="F324" s="8">
        <v>732</v>
      </c>
      <c r="G324" s="8">
        <v>9.6</v>
      </c>
      <c r="H324" s="8">
        <v>2</v>
      </c>
      <c r="I324" s="8">
        <v>13</v>
      </c>
      <c r="J324" s="8">
        <v>54837120</v>
      </c>
      <c r="K324" s="8">
        <v>4</v>
      </c>
      <c r="L324" s="8">
        <v>4</v>
      </c>
      <c r="M324" s="8">
        <v>1</v>
      </c>
      <c r="N324" s="8">
        <v>9</v>
      </c>
      <c r="O324" s="8">
        <v>10</v>
      </c>
      <c r="P324" s="8"/>
      <c r="R324">
        <f t="shared" si="56"/>
        <v>1</v>
      </c>
      <c r="S324">
        <f t="shared" si="57"/>
        <v>0</v>
      </c>
      <c r="T324">
        <f t="shared" si="58"/>
        <v>0</v>
      </c>
      <c r="U324">
        <f t="shared" si="59"/>
        <v>29.5</v>
      </c>
      <c r="V324" t="str">
        <f t="shared" si="60"/>
        <v/>
      </c>
      <c r="W324" t="str">
        <f t="shared" si="61"/>
        <v/>
      </c>
      <c r="X324">
        <f t="shared" si="55"/>
        <v>1</v>
      </c>
    </row>
    <row r="325" spans="1:24" x14ac:dyDescent="0.25">
      <c r="A325" s="8">
        <v>30</v>
      </c>
      <c r="B325" s="8">
        <v>21</v>
      </c>
      <c r="C325" s="8">
        <v>100</v>
      </c>
      <c r="D325" s="8">
        <v>1</v>
      </c>
      <c r="E325" s="8">
        <v>28.6</v>
      </c>
      <c r="F325" s="8">
        <v>44</v>
      </c>
      <c r="G325" s="8">
        <v>3.8</v>
      </c>
      <c r="H325" s="8">
        <v>2</v>
      </c>
      <c r="I325" s="8">
        <v>5</v>
      </c>
      <c r="J325" s="8">
        <v>54837120</v>
      </c>
      <c r="K325" s="8">
        <v>1</v>
      </c>
      <c r="L325" s="8">
        <v>1</v>
      </c>
      <c r="M325" s="8">
        <v>1</v>
      </c>
      <c r="N325" s="8">
        <v>8</v>
      </c>
      <c r="O325" s="8">
        <v>10</v>
      </c>
      <c r="P325" s="8"/>
      <c r="R325">
        <f t="shared" si="56"/>
        <v>1</v>
      </c>
      <c r="S325">
        <f t="shared" si="57"/>
        <v>0</v>
      </c>
      <c r="T325">
        <f t="shared" si="58"/>
        <v>0</v>
      </c>
      <c r="U325">
        <f t="shared" si="59"/>
        <v>28.6</v>
      </c>
      <c r="V325" t="str">
        <f t="shared" si="60"/>
        <v/>
      </c>
      <c r="W325" t="str">
        <f t="shared" si="61"/>
        <v/>
      </c>
      <c r="X325">
        <f t="shared" ref="X325:X388" si="62">IF(M325&gt;0,1,0)</f>
        <v>1</v>
      </c>
    </row>
    <row r="326" spans="1:24" x14ac:dyDescent="0.25">
      <c r="A326" s="8">
        <v>30</v>
      </c>
      <c r="B326" s="8">
        <v>22</v>
      </c>
      <c r="C326" s="8">
        <v>100</v>
      </c>
      <c r="D326" s="8">
        <v>1</v>
      </c>
      <c r="E326" s="8">
        <v>28.7</v>
      </c>
      <c r="F326" s="8">
        <v>1014</v>
      </c>
      <c r="G326" s="8">
        <v>11.5</v>
      </c>
      <c r="H326" s="8">
        <v>3</v>
      </c>
      <c r="I326" s="8">
        <v>17</v>
      </c>
      <c r="J326" s="8">
        <v>54837120</v>
      </c>
      <c r="K326" s="8">
        <v>1</v>
      </c>
      <c r="L326" s="8">
        <v>1</v>
      </c>
      <c r="M326" s="8">
        <v>1</v>
      </c>
      <c r="N326" s="8">
        <v>8</v>
      </c>
      <c r="O326" s="8">
        <v>10</v>
      </c>
      <c r="P326" s="8"/>
      <c r="R326">
        <f t="shared" si="56"/>
        <v>1</v>
      </c>
      <c r="S326">
        <f t="shared" si="57"/>
        <v>0</v>
      </c>
      <c r="T326">
        <f t="shared" si="58"/>
        <v>0</v>
      </c>
      <c r="U326">
        <f t="shared" si="59"/>
        <v>28.7</v>
      </c>
      <c r="V326" t="str">
        <f t="shared" si="60"/>
        <v/>
      </c>
      <c r="W326" t="str">
        <f t="shared" si="61"/>
        <v/>
      </c>
      <c r="X326">
        <f t="shared" si="62"/>
        <v>1</v>
      </c>
    </row>
    <row r="327" spans="1:24" x14ac:dyDescent="0.25">
      <c r="A327" s="8">
        <v>30</v>
      </c>
      <c r="B327" s="8">
        <v>23</v>
      </c>
      <c r="C327" s="8">
        <v>41</v>
      </c>
      <c r="D327" s="8">
        <v>1</v>
      </c>
      <c r="E327" s="8">
        <v>26.5</v>
      </c>
      <c r="F327" s="8">
        <v>218</v>
      </c>
      <c r="G327" s="8">
        <v>6.8</v>
      </c>
      <c r="H327" s="8">
        <v>2</v>
      </c>
      <c r="I327" s="8">
        <v>11</v>
      </c>
      <c r="J327" s="8">
        <v>54837120</v>
      </c>
      <c r="K327" s="8">
        <v>2</v>
      </c>
      <c r="L327" s="8">
        <v>2</v>
      </c>
      <c r="M327" s="8">
        <v>2</v>
      </c>
      <c r="N327" s="8">
        <v>7</v>
      </c>
      <c r="O327" s="8">
        <v>10</v>
      </c>
      <c r="P327" s="8"/>
      <c r="R327">
        <f t="shared" si="56"/>
        <v>1</v>
      </c>
      <c r="S327">
        <f t="shared" si="57"/>
        <v>0</v>
      </c>
      <c r="T327">
        <f t="shared" si="58"/>
        <v>0</v>
      </c>
      <c r="U327">
        <f t="shared" si="59"/>
        <v>26.5</v>
      </c>
      <c r="V327" t="str">
        <f t="shared" si="60"/>
        <v/>
      </c>
      <c r="W327" t="str">
        <f t="shared" si="61"/>
        <v/>
      </c>
      <c r="X327">
        <f t="shared" si="62"/>
        <v>1</v>
      </c>
    </row>
    <row r="328" spans="1:24" x14ac:dyDescent="0.25">
      <c r="A328" s="8">
        <v>30</v>
      </c>
      <c r="B328" s="8">
        <v>24</v>
      </c>
      <c r="C328" s="8">
        <v>100</v>
      </c>
      <c r="D328" s="8">
        <v>3</v>
      </c>
      <c r="E328" s="8">
        <v>648.9</v>
      </c>
      <c r="F328" s="8">
        <v>651</v>
      </c>
      <c r="G328" s="8">
        <v>8.9</v>
      </c>
      <c r="H328" s="8">
        <v>2</v>
      </c>
      <c r="I328" s="8">
        <v>13</v>
      </c>
      <c r="J328" s="8">
        <v>1535439360</v>
      </c>
      <c r="K328" s="8">
        <v>1</v>
      </c>
      <c r="L328" s="8">
        <v>1</v>
      </c>
      <c r="M328" s="8">
        <v>1</v>
      </c>
      <c r="N328" s="8">
        <v>9</v>
      </c>
      <c r="O328" s="8">
        <v>10</v>
      </c>
      <c r="P328" s="8"/>
      <c r="R328">
        <f t="shared" si="56"/>
        <v>0</v>
      </c>
      <c r="S328">
        <f t="shared" si="57"/>
        <v>0</v>
      </c>
      <c r="T328">
        <f t="shared" si="58"/>
        <v>1</v>
      </c>
      <c r="U328" t="str">
        <f t="shared" si="59"/>
        <v/>
      </c>
      <c r="V328" t="str">
        <f t="shared" si="60"/>
        <v/>
      </c>
      <c r="W328">
        <f t="shared" si="61"/>
        <v>648.9</v>
      </c>
      <c r="X328">
        <f t="shared" si="62"/>
        <v>1</v>
      </c>
    </row>
    <row r="329" spans="1:24" x14ac:dyDescent="0.25">
      <c r="A329" s="8">
        <v>30</v>
      </c>
      <c r="B329" s="8">
        <v>25</v>
      </c>
      <c r="C329" s="8">
        <v>100</v>
      </c>
      <c r="D329" s="8">
        <v>1</v>
      </c>
      <c r="E329" s="8">
        <v>31.7</v>
      </c>
      <c r="F329" s="8">
        <v>515</v>
      </c>
      <c r="G329" s="8">
        <v>8.9</v>
      </c>
      <c r="H329" s="8">
        <v>2</v>
      </c>
      <c r="I329" s="8">
        <v>14</v>
      </c>
      <c r="J329" s="8">
        <v>54837120</v>
      </c>
      <c r="K329" s="8">
        <v>1</v>
      </c>
      <c r="L329" s="8">
        <v>1</v>
      </c>
      <c r="M329" s="8">
        <v>1</v>
      </c>
      <c r="N329" s="8">
        <v>9</v>
      </c>
      <c r="O329" s="8">
        <v>10</v>
      </c>
      <c r="P329" s="8"/>
      <c r="R329">
        <f t="shared" si="56"/>
        <v>1</v>
      </c>
      <c r="S329">
        <f t="shared" si="57"/>
        <v>0</v>
      </c>
      <c r="T329">
        <f t="shared" si="58"/>
        <v>0</v>
      </c>
      <c r="U329">
        <f t="shared" si="59"/>
        <v>31.7</v>
      </c>
      <c r="V329" t="str">
        <f t="shared" si="60"/>
        <v/>
      </c>
      <c r="W329" t="str">
        <f t="shared" si="61"/>
        <v/>
      </c>
      <c r="X329">
        <f t="shared" si="62"/>
        <v>1</v>
      </c>
    </row>
    <row r="330" spans="1:24" x14ac:dyDescent="0.25">
      <c r="A330" s="8">
        <v>30</v>
      </c>
      <c r="B330" s="8">
        <v>26</v>
      </c>
      <c r="C330" s="8">
        <v>100</v>
      </c>
      <c r="D330" s="8">
        <v>3</v>
      </c>
      <c r="E330" s="8">
        <v>1327.8</v>
      </c>
      <c r="F330" s="8">
        <v>89</v>
      </c>
      <c r="G330" s="8">
        <v>8.4</v>
      </c>
      <c r="H330" s="8">
        <v>2</v>
      </c>
      <c r="I330" s="8">
        <v>11</v>
      </c>
      <c r="J330" s="8">
        <v>1535439360</v>
      </c>
      <c r="K330" s="8">
        <v>1992</v>
      </c>
      <c r="L330" s="8">
        <v>1</v>
      </c>
      <c r="M330" s="8">
        <v>1</v>
      </c>
      <c r="N330" s="8">
        <v>8</v>
      </c>
      <c r="O330" s="8">
        <v>10</v>
      </c>
      <c r="P330" s="8"/>
      <c r="R330">
        <f t="shared" si="56"/>
        <v>0</v>
      </c>
      <c r="S330">
        <f t="shared" si="57"/>
        <v>0</v>
      </c>
      <c r="T330">
        <f t="shared" si="58"/>
        <v>1</v>
      </c>
      <c r="U330" t="str">
        <f t="shared" si="59"/>
        <v/>
      </c>
      <c r="V330" t="str">
        <f t="shared" si="60"/>
        <v/>
      </c>
      <c r="W330">
        <f t="shared" si="61"/>
        <v>1327.8</v>
      </c>
      <c r="X330">
        <f t="shared" si="62"/>
        <v>1</v>
      </c>
    </row>
    <row r="331" spans="1:24" x14ac:dyDescent="0.25">
      <c r="A331" s="8">
        <v>30</v>
      </c>
      <c r="B331" s="8">
        <v>27</v>
      </c>
      <c r="C331" s="8">
        <v>100</v>
      </c>
      <c r="D331" s="8">
        <v>1</v>
      </c>
      <c r="E331" s="8">
        <v>12.2</v>
      </c>
      <c r="F331" s="8">
        <v>263</v>
      </c>
      <c r="G331" s="8">
        <v>8.1</v>
      </c>
      <c r="H331" s="8">
        <v>2</v>
      </c>
      <c r="I331" s="8">
        <v>12</v>
      </c>
      <c r="J331" s="8">
        <v>54837120</v>
      </c>
      <c r="K331" s="8">
        <v>2</v>
      </c>
      <c r="L331" s="8">
        <v>1</v>
      </c>
      <c r="M331" s="8">
        <v>1</v>
      </c>
      <c r="N331" s="8">
        <v>6</v>
      </c>
      <c r="O331" s="8">
        <v>10</v>
      </c>
      <c r="P331" s="8"/>
      <c r="R331">
        <f t="shared" si="56"/>
        <v>1</v>
      </c>
      <c r="S331">
        <f t="shared" si="57"/>
        <v>0</v>
      </c>
      <c r="T331">
        <f t="shared" si="58"/>
        <v>0</v>
      </c>
      <c r="U331">
        <f t="shared" si="59"/>
        <v>12.2</v>
      </c>
      <c r="V331" t="str">
        <f t="shared" si="60"/>
        <v/>
      </c>
      <c r="W331" t="str">
        <f t="shared" si="61"/>
        <v/>
      </c>
      <c r="X331">
        <f t="shared" si="62"/>
        <v>1</v>
      </c>
    </row>
    <row r="332" spans="1:24" x14ac:dyDescent="0.25">
      <c r="A332" s="8">
        <v>30</v>
      </c>
      <c r="B332" s="8">
        <v>28</v>
      </c>
      <c r="C332" s="8">
        <v>76</v>
      </c>
      <c r="D332" s="8">
        <v>1</v>
      </c>
      <c r="E332" s="8">
        <v>32.700000000000003</v>
      </c>
      <c r="F332" s="8">
        <v>562</v>
      </c>
      <c r="G332" s="8">
        <v>8.6</v>
      </c>
      <c r="H332" s="8">
        <v>2</v>
      </c>
      <c r="I332" s="8">
        <v>12</v>
      </c>
      <c r="J332" s="8">
        <v>54837120</v>
      </c>
      <c r="K332" s="8">
        <v>6</v>
      </c>
      <c r="L332" s="8">
        <v>6</v>
      </c>
      <c r="M332" s="8">
        <v>3</v>
      </c>
      <c r="N332" s="8">
        <v>6</v>
      </c>
      <c r="O332" s="8">
        <v>10</v>
      </c>
      <c r="P332" s="8"/>
      <c r="R332">
        <f t="shared" si="56"/>
        <v>1</v>
      </c>
      <c r="S332">
        <f t="shared" si="57"/>
        <v>0</v>
      </c>
      <c r="T332">
        <f t="shared" si="58"/>
        <v>0</v>
      </c>
      <c r="U332">
        <f t="shared" si="59"/>
        <v>32.700000000000003</v>
      </c>
      <c r="V332" t="str">
        <f t="shared" si="60"/>
        <v/>
      </c>
      <c r="W332" t="str">
        <f t="shared" si="61"/>
        <v/>
      </c>
      <c r="X332">
        <f t="shared" si="62"/>
        <v>1</v>
      </c>
    </row>
    <row r="333" spans="1:24" x14ac:dyDescent="0.25">
      <c r="A333" s="8">
        <v>30</v>
      </c>
      <c r="B333" s="8">
        <v>29</v>
      </c>
      <c r="C333" s="8">
        <v>100</v>
      </c>
      <c r="D333" s="8">
        <v>1</v>
      </c>
      <c r="E333" s="8">
        <v>36.9</v>
      </c>
      <c r="F333" s="8">
        <v>120</v>
      </c>
      <c r="G333" s="8">
        <v>7.8</v>
      </c>
      <c r="H333" s="8">
        <v>2</v>
      </c>
      <c r="I333" s="8">
        <v>12</v>
      </c>
      <c r="J333" s="8">
        <v>54837120</v>
      </c>
      <c r="K333" s="8">
        <v>6</v>
      </c>
      <c r="L333" s="8">
        <v>3</v>
      </c>
      <c r="M333" s="8">
        <v>1</v>
      </c>
      <c r="N333" s="8">
        <v>8</v>
      </c>
      <c r="O333" s="8">
        <v>10</v>
      </c>
      <c r="P333" s="8"/>
      <c r="R333">
        <f t="shared" si="56"/>
        <v>1</v>
      </c>
      <c r="S333">
        <f t="shared" si="57"/>
        <v>0</v>
      </c>
      <c r="T333">
        <f t="shared" si="58"/>
        <v>0</v>
      </c>
      <c r="U333">
        <f t="shared" si="59"/>
        <v>36.9</v>
      </c>
      <c r="V333" t="str">
        <f t="shared" si="60"/>
        <v/>
      </c>
      <c r="W333" t="str">
        <f t="shared" si="61"/>
        <v/>
      </c>
      <c r="X333">
        <f t="shared" si="62"/>
        <v>1</v>
      </c>
    </row>
    <row r="334" spans="1:24" x14ac:dyDescent="0.25">
      <c r="A334" s="8">
        <v>31</v>
      </c>
      <c r="B334" s="8">
        <v>0</v>
      </c>
      <c r="C334" s="8">
        <v>89</v>
      </c>
      <c r="D334" s="8">
        <v>1</v>
      </c>
      <c r="E334" s="8">
        <v>24.6</v>
      </c>
      <c r="F334" s="8">
        <v>169</v>
      </c>
      <c r="G334" s="8">
        <v>6.7</v>
      </c>
      <c r="H334" s="8">
        <v>2</v>
      </c>
      <c r="I334" s="8">
        <v>9</v>
      </c>
      <c r="J334" s="8">
        <v>54837120</v>
      </c>
      <c r="K334" s="8">
        <v>1</v>
      </c>
      <c r="L334" s="8">
        <v>1</v>
      </c>
      <c r="M334" s="8">
        <v>1</v>
      </c>
      <c r="N334" s="8">
        <v>8</v>
      </c>
      <c r="O334" s="8">
        <v>10</v>
      </c>
      <c r="P334" s="8"/>
      <c r="R334">
        <f t="shared" si="56"/>
        <v>1</v>
      </c>
      <c r="S334">
        <f t="shared" si="57"/>
        <v>0</v>
      </c>
      <c r="T334">
        <f t="shared" si="58"/>
        <v>0</v>
      </c>
      <c r="U334">
        <f t="shared" si="59"/>
        <v>24.6</v>
      </c>
      <c r="V334" t="str">
        <f t="shared" si="60"/>
        <v/>
      </c>
      <c r="W334" t="str">
        <f t="shared" si="61"/>
        <v/>
      </c>
      <c r="X334">
        <f t="shared" si="62"/>
        <v>1</v>
      </c>
    </row>
    <row r="335" spans="1:24" x14ac:dyDescent="0.25">
      <c r="A335" s="8">
        <v>31</v>
      </c>
      <c r="B335" s="8">
        <v>1</v>
      </c>
      <c r="C335" s="8">
        <v>100</v>
      </c>
      <c r="D335" s="8">
        <v>1</v>
      </c>
      <c r="E335" s="8">
        <v>38.700000000000003</v>
      </c>
      <c r="F335" s="8">
        <v>331</v>
      </c>
      <c r="G335" s="8">
        <v>8.6999999999999993</v>
      </c>
      <c r="H335" s="8">
        <v>2</v>
      </c>
      <c r="I335" s="8">
        <v>12</v>
      </c>
      <c r="J335" s="8">
        <v>54837120</v>
      </c>
      <c r="K335" s="8">
        <v>2</v>
      </c>
      <c r="L335" s="8">
        <v>2</v>
      </c>
      <c r="M335" s="8">
        <v>1</v>
      </c>
      <c r="N335" s="8">
        <v>8</v>
      </c>
      <c r="O335" s="8">
        <v>10</v>
      </c>
      <c r="P335" s="8"/>
      <c r="R335">
        <f t="shared" si="56"/>
        <v>1</v>
      </c>
      <c r="S335">
        <f t="shared" si="57"/>
        <v>0</v>
      </c>
      <c r="T335">
        <f t="shared" si="58"/>
        <v>0</v>
      </c>
      <c r="U335">
        <f t="shared" si="59"/>
        <v>38.700000000000003</v>
      </c>
      <c r="V335" t="str">
        <f t="shared" si="60"/>
        <v/>
      </c>
      <c r="W335" t="str">
        <f t="shared" si="61"/>
        <v/>
      </c>
      <c r="X335">
        <f t="shared" si="62"/>
        <v>1</v>
      </c>
    </row>
    <row r="336" spans="1:24" x14ac:dyDescent="0.25">
      <c r="A336" s="8">
        <v>31</v>
      </c>
      <c r="B336" s="8">
        <v>2</v>
      </c>
      <c r="C336" s="8">
        <v>82</v>
      </c>
      <c r="D336" s="8">
        <v>1</v>
      </c>
      <c r="E336" s="8">
        <v>50.9</v>
      </c>
      <c r="F336" s="8">
        <v>2053</v>
      </c>
      <c r="G336" s="8">
        <v>10.3</v>
      </c>
      <c r="H336" s="8">
        <v>2</v>
      </c>
      <c r="I336" s="8">
        <v>14</v>
      </c>
      <c r="J336" s="8">
        <v>54837120</v>
      </c>
      <c r="K336" s="8">
        <v>1</v>
      </c>
      <c r="L336" s="8">
        <v>1</v>
      </c>
      <c r="M336" s="8">
        <v>1</v>
      </c>
      <c r="N336" s="8">
        <v>8</v>
      </c>
      <c r="O336" s="8">
        <v>8</v>
      </c>
      <c r="P336" s="8"/>
      <c r="R336">
        <f t="shared" si="56"/>
        <v>1</v>
      </c>
      <c r="S336">
        <f t="shared" si="57"/>
        <v>0</v>
      </c>
      <c r="T336">
        <f t="shared" si="58"/>
        <v>0</v>
      </c>
      <c r="U336">
        <f t="shared" si="59"/>
        <v>50.9</v>
      </c>
      <c r="V336" t="str">
        <f t="shared" si="60"/>
        <v/>
      </c>
      <c r="W336" t="str">
        <f t="shared" si="61"/>
        <v/>
      </c>
      <c r="X336">
        <f t="shared" si="62"/>
        <v>1</v>
      </c>
    </row>
    <row r="337" spans="1:24" x14ac:dyDescent="0.25">
      <c r="A337" s="8">
        <v>31</v>
      </c>
      <c r="B337" s="8">
        <v>3</v>
      </c>
      <c r="C337" s="8">
        <v>70</v>
      </c>
      <c r="D337" s="8">
        <v>1</v>
      </c>
      <c r="E337" s="8">
        <v>37.700000000000003</v>
      </c>
      <c r="F337" s="8">
        <v>1074</v>
      </c>
      <c r="G337" s="8">
        <v>8</v>
      </c>
      <c r="H337" s="8">
        <v>2</v>
      </c>
      <c r="I337" s="8">
        <v>12</v>
      </c>
      <c r="J337" s="8">
        <v>54837120</v>
      </c>
      <c r="K337" s="8">
        <v>1</v>
      </c>
      <c r="L337" s="8">
        <v>1</v>
      </c>
      <c r="M337" s="8">
        <v>1</v>
      </c>
      <c r="N337" s="8">
        <v>8</v>
      </c>
      <c r="O337" s="8">
        <v>10</v>
      </c>
      <c r="P337" s="8"/>
      <c r="R337">
        <f t="shared" si="56"/>
        <v>1</v>
      </c>
      <c r="S337">
        <f t="shared" si="57"/>
        <v>0</v>
      </c>
      <c r="T337">
        <f t="shared" si="58"/>
        <v>0</v>
      </c>
      <c r="U337">
        <f t="shared" si="59"/>
        <v>37.700000000000003</v>
      </c>
      <c r="V337" t="str">
        <f t="shared" si="60"/>
        <v/>
      </c>
      <c r="W337" t="str">
        <f t="shared" si="61"/>
        <v/>
      </c>
      <c r="X337">
        <f t="shared" si="62"/>
        <v>1</v>
      </c>
    </row>
    <row r="338" spans="1:24" x14ac:dyDescent="0.25">
      <c r="A338" s="8">
        <v>31</v>
      </c>
      <c r="B338" s="8">
        <v>4</v>
      </c>
      <c r="C338" s="8">
        <v>100</v>
      </c>
      <c r="D338" s="8">
        <v>1</v>
      </c>
      <c r="E338" s="8">
        <v>43.7</v>
      </c>
      <c r="F338" s="8">
        <v>871</v>
      </c>
      <c r="G338" s="8">
        <v>8.8000000000000007</v>
      </c>
      <c r="H338" s="8">
        <v>3</v>
      </c>
      <c r="I338" s="8">
        <v>12</v>
      </c>
      <c r="J338" s="8">
        <v>54837120</v>
      </c>
      <c r="K338" s="8">
        <v>2</v>
      </c>
      <c r="L338" s="8">
        <v>2</v>
      </c>
      <c r="M338" s="8">
        <v>2</v>
      </c>
      <c r="N338" s="8">
        <v>7</v>
      </c>
      <c r="O338" s="8">
        <v>10</v>
      </c>
      <c r="P338" s="8"/>
      <c r="R338">
        <f t="shared" si="56"/>
        <v>1</v>
      </c>
      <c r="S338">
        <f t="shared" si="57"/>
        <v>0</v>
      </c>
      <c r="T338">
        <f t="shared" si="58"/>
        <v>0</v>
      </c>
      <c r="U338">
        <f t="shared" si="59"/>
        <v>43.7</v>
      </c>
      <c r="V338" t="str">
        <f t="shared" si="60"/>
        <v/>
      </c>
      <c r="W338" t="str">
        <f t="shared" si="61"/>
        <v/>
      </c>
      <c r="X338">
        <f t="shared" si="62"/>
        <v>1</v>
      </c>
    </row>
    <row r="339" spans="1:24" x14ac:dyDescent="0.25">
      <c r="A339" s="8">
        <v>31</v>
      </c>
      <c r="B339" s="8">
        <v>5</v>
      </c>
      <c r="C339" s="8">
        <v>71</v>
      </c>
      <c r="D339" s="8">
        <v>1</v>
      </c>
      <c r="E339" s="8">
        <v>26.5</v>
      </c>
      <c r="F339" s="8">
        <v>739</v>
      </c>
      <c r="G339" s="8">
        <v>7.2</v>
      </c>
      <c r="H339" s="8">
        <v>2</v>
      </c>
      <c r="I339" s="8">
        <v>11</v>
      </c>
      <c r="J339" s="8">
        <v>54837120</v>
      </c>
      <c r="K339" s="8">
        <v>3</v>
      </c>
      <c r="L339" s="8">
        <v>3</v>
      </c>
      <c r="M339" s="8">
        <v>1</v>
      </c>
      <c r="N339" s="8">
        <v>6</v>
      </c>
      <c r="O339" s="8">
        <v>10</v>
      </c>
      <c r="P339" s="8"/>
      <c r="R339">
        <f t="shared" si="56"/>
        <v>1</v>
      </c>
      <c r="S339">
        <f t="shared" si="57"/>
        <v>0</v>
      </c>
      <c r="T339">
        <f t="shared" si="58"/>
        <v>0</v>
      </c>
      <c r="U339">
        <f t="shared" si="59"/>
        <v>26.5</v>
      </c>
      <c r="V339" t="str">
        <f t="shared" si="60"/>
        <v/>
      </c>
      <c r="W339" t="str">
        <f t="shared" si="61"/>
        <v/>
      </c>
      <c r="X339">
        <f t="shared" si="62"/>
        <v>1</v>
      </c>
    </row>
    <row r="340" spans="1:24" x14ac:dyDescent="0.25">
      <c r="A340" s="8">
        <v>31</v>
      </c>
      <c r="B340" s="8">
        <v>6</v>
      </c>
      <c r="C340" s="8">
        <v>100</v>
      </c>
      <c r="D340" s="8">
        <v>1</v>
      </c>
      <c r="E340" s="8">
        <v>19.399999999999999</v>
      </c>
      <c r="F340" s="8">
        <v>606</v>
      </c>
      <c r="G340" s="8">
        <v>11.3</v>
      </c>
      <c r="H340" s="8">
        <v>2</v>
      </c>
      <c r="I340" s="8">
        <v>14</v>
      </c>
      <c r="J340" s="8">
        <v>54837120</v>
      </c>
      <c r="K340" s="8">
        <v>1</v>
      </c>
      <c r="L340" s="8">
        <v>1</v>
      </c>
      <c r="M340" s="8">
        <v>1</v>
      </c>
      <c r="N340" s="8">
        <v>9</v>
      </c>
      <c r="O340" s="8">
        <v>10</v>
      </c>
      <c r="P340" s="8"/>
      <c r="R340">
        <f t="shared" si="56"/>
        <v>1</v>
      </c>
      <c r="S340">
        <f t="shared" si="57"/>
        <v>0</v>
      </c>
      <c r="T340">
        <f t="shared" si="58"/>
        <v>0</v>
      </c>
      <c r="U340">
        <f t="shared" si="59"/>
        <v>19.399999999999999</v>
      </c>
      <c r="V340" t="str">
        <f t="shared" si="60"/>
        <v/>
      </c>
      <c r="W340" t="str">
        <f t="shared" si="61"/>
        <v/>
      </c>
      <c r="X340">
        <f t="shared" si="62"/>
        <v>1</v>
      </c>
    </row>
    <row r="341" spans="1:24" x14ac:dyDescent="0.25">
      <c r="A341" s="8">
        <v>31</v>
      </c>
      <c r="B341" s="8">
        <v>7</v>
      </c>
      <c r="C341" s="8">
        <v>65</v>
      </c>
      <c r="D341" s="8">
        <v>1</v>
      </c>
      <c r="E341" s="8">
        <v>26.6</v>
      </c>
      <c r="F341" s="8">
        <v>238</v>
      </c>
      <c r="G341" s="8">
        <v>7.7</v>
      </c>
      <c r="H341" s="8">
        <v>2</v>
      </c>
      <c r="I341" s="8">
        <v>13</v>
      </c>
      <c r="J341" s="8">
        <v>54837120</v>
      </c>
      <c r="K341" s="8">
        <v>1</v>
      </c>
      <c r="L341" s="8">
        <v>1</v>
      </c>
      <c r="M341" s="8">
        <v>1</v>
      </c>
      <c r="N341" s="8">
        <v>8</v>
      </c>
      <c r="O341" s="8">
        <v>10</v>
      </c>
      <c r="P341" s="8"/>
      <c r="R341">
        <f t="shared" si="56"/>
        <v>1</v>
      </c>
      <c r="S341">
        <f t="shared" si="57"/>
        <v>0</v>
      </c>
      <c r="T341">
        <f t="shared" si="58"/>
        <v>0</v>
      </c>
      <c r="U341">
        <f t="shared" si="59"/>
        <v>26.6</v>
      </c>
      <c r="V341" t="str">
        <f t="shared" si="60"/>
        <v/>
      </c>
      <c r="W341" t="str">
        <f t="shared" si="61"/>
        <v/>
      </c>
      <c r="X341">
        <f t="shared" si="62"/>
        <v>1</v>
      </c>
    </row>
    <row r="342" spans="1:24" x14ac:dyDescent="0.25">
      <c r="A342" s="8">
        <v>31</v>
      </c>
      <c r="B342" s="8">
        <v>8</v>
      </c>
      <c r="C342" s="8">
        <v>82</v>
      </c>
      <c r="D342" s="8">
        <v>1</v>
      </c>
      <c r="E342" s="8">
        <v>22.5</v>
      </c>
      <c r="F342" s="8">
        <v>62</v>
      </c>
      <c r="G342" s="8">
        <v>6.5</v>
      </c>
      <c r="H342" s="8">
        <v>2</v>
      </c>
      <c r="I342" s="8">
        <v>10</v>
      </c>
      <c r="J342" s="8">
        <v>54837120</v>
      </c>
      <c r="K342" s="8">
        <v>6</v>
      </c>
      <c r="L342" s="8">
        <v>1</v>
      </c>
      <c r="M342" s="8">
        <v>1</v>
      </c>
      <c r="N342" s="8">
        <v>7</v>
      </c>
      <c r="O342" s="8">
        <v>10</v>
      </c>
      <c r="P342" s="8"/>
      <c r="R342">
        <f t="shared" si="56"/>
        <v>1</v>
      </c>
      <c r="S342">
        <f t="shared" si="57"/>
        <v>0</v>
      </c>
      <c r="T342">
        <f t="shared" si="58"/>
        <v>0</v>
      </c>
      <c r="U342">
        <f t="shared" si="59"/>
        <v>22.5</v>
      </c>
      <c r="V342" t="str">
        <f t="shared" si="60"/>
        <v/>
      </c>
      <c r="W342" t="str">
        <f t="shared" si="61"/>
        <v/>
      </c>
      <c r="X342">
        <f t="shared" si="62"/>
        <v>1</v>
      </c>
    </row>
    <row r="343" spans="1:24" x14ac:dyDescent="0.25">
      <c r="A343" s="8">
        <v>31</v>
      </c>
      <c r="B343" s="8">
        <v>9</v>
      </c>
      <c r="C343" s="8">
        <v>100</v>
      </c>
      <c r="D343" s="8">
        <v>1</v>
      </c>
      <c r="E343" s="8">
        <v>31.7</v>
      </c>
      <c r="F343" s="8">
        <v>1207</v>
      </c>
      <c r="G343" s="8">
        <v>7.2</v>
      </c>
      <c r="H343" s="8">
        <v>2</v>
      </c>
      <c r="I343" s="8">
        <v>10</v>
      </c>
      <c r="J343" s="8">
        <v>54837120</v>
      </c>
      <c r="K343" s="8">
        <v>3</v>
      </c>
      <c r="L343" s="8">
        <v>3</v>
      </c>
      <c r="M343" s="8">
        <v>1</v>
      </c>
      <c r="N343" s="8">
        <v>7</v>
      </c>
      <c r="O343" s="8">
        <v>10</v>
      </c>
      <c r="P343" s="8"/>
      <c r="R343">
        <f t="shared" si="56"/>
        <v>1</v>
      </c>
      <c r="S343">
        <f t="shared" si="57"/>
        <v>0</v>
      </c>
      <c r="T343">
        <f t="shared" si="58"/>
        <v>0</v>
      </c>
      <c r="U343">
        <f t="shared" si="59"/>
        <v>31.7</v>
      </c>
      <c r="V343" t="str">
        <f t="shared" si="60"/>
        <v/>
      </c>
      <c r="W343" t="str">
        <f t="shared" si="61"/>
        <v/>
      </c>
      <c r="X343">
        <f t="shared" si="62"/>
        <v>1</v>
      </c>
    </row>
    <row r="344" spans="1:24" x14ac:dyDescent="0.25">
      <c r="A344" s="8">
        <v>31</v>
      </c>
      <c r="B344" s="8">
        <v>10</v>
      </c>
      <c r="C344" s="8">
        <v>100</v>
      </c>
      <c r="D344" s="8">
        <v>2</v>
      </c>
      <c r="E344" s="8">
        <v>87.8</v>
      </c>
      <c r="F344" s="8">
        <v>907</v>
      </c>
      <c r="G344" s="8">
        <v>10</v>
      </c>
      <c r="H344" s="8">
        <v>3</v>
      </c>
      <c r="I344" s="8">
        <v>15</v>
      </c>
      <c r="J344" s="8">
        <v>109674240</v>
      </c>
      <c r="K344" s="8">
        <v>1</v>
      </c>
      <c r="L344" s="8">
        <v>1</v>
      </c>
      <c r="M344" s="8">
        <v>1</v>
      </c>
      <c r="N344" s="8">
        <v>10</v>
      </c>
      <c r="O344" s="8">
        <v>10</v>
      </c>
      <c r="P344" s="8"/>
      <c r="R344">
        <f t="shared" si="56"/>
        <v>0</v>
      </c>
      <c r="S344">
        <f t="shared" si="57"/>
        <v>1</v>
      </c>
      <c r="T344">
        <f t="shared" si="58"/>
        <v>0</v>
      </c>
      <c r="U344" t="str">
        <f t="shared" si="59"/>
        <v/>
      </c>
      <c r="V344">
        <f t="shared" si="60"/>
        <v>87.8</v>
      </c>
      <c r="W344" t="str">
        <f t="shared" si="61"/>
        <v/>
      </c>
      <c r="X344">
        <f t="shared" si="62"/>
        <v>1</v>
      </c>
    </row>
    <row r="345" spans="1:24" x14ac:dyDescent="0.25">
      <c r="A345" s="8">
        <v>31</v>
      </c>
      <c r="B345" s="8">
        <v>11</v>
      </c>
      <c r="C345" s="8">
        <v>88</v>
      </c>
      <c r="D345" s="8">
        <v>1</v>
      </c>
      <c r="E345" s="8">
        <v>33.6</v>
      </c>
      <c r="F345" s="8">
        <v>460</v>
      </c>
      <c r="G345" s="8">
        <v>7.2</v>
      </c>
      <c r="H345" s="8">
        <v>2</v>
      </c>
      <c r="I345" s="8">
        <v>12</v>
      </c>
      <c r="J345" s="8">
        <v>54837120</v>
      </c>
      <c r="K345" s="8">
        <v>2</v>
      </c>
      <c r="L345" s="8">
        <v>2</v>
      </c>
      <c r="M345" s="8">
        <v>2</v>
      </c>
      <c r="N345" s="8">
        <v>8</v>
      </c>
      <c r="O345" s="8">
        <v>9</v>
      </c>
      <c r="P345" s="8"/>
      <c r="R345">
        <f t="shared" si="56"/>
        <v>1</v>
      </c>
      <c r="S345">
        <f t="shared" si="57"/>
        <v>0</v>
      </c>
      <c r="T345">
        <f t="shared" si="58"/>
        <v>0</v>
      </c>
      <c r="U345">
        <f t="shared" si="59"/>
        <v>33.6</v>
      </c>
      <c r="V345" t="str">
        <f t="shared" si="60"/>
        <v/>
      </c>
      <c r="W345" t="str">
        <f t="shared" si="61"/>
        <v/>
      </c>
      <c r="X345">
        <f t="shared" si="62"/>
        <v>1</v>
      </c>
    </row>
    <row r="346" spans="1:24" x14ac:dyDescent="0.25">
      <c r="A346" s="8">
        <v>31</v>
      </c>
      <c r="B346" s="8">
        <v>12</v>
      </c>
      <c r="C346" s="8">
        <v>100</v>
      </c>
      <c r="D346" s="8">
        <v>1</v>
      </c>
      <c r="E346" s="8">
        <v>29.6</v>
      </c>
      <c r="F346" s="8">
        <v>782</v>
      </c>
      <c r="G346" s="8">
        <v>8.1999999999999993</v>
      </c>
      <c r="H346" s="8">
        <v>2</v>
      </c>
      <c r="I346" s="8">
        <v>12</v>
      </c>
      <c r="J346" s="8">
        <v>54837120</v>
      </c>
      <c r="K346" s="8">
        <v>1</v>
      </c>
      <c r="L346" s="8">
        <v>1</v>
      </c>
      <c r="M346" s="8">
        <v>1</v>
      </c>
      <c r="N346" s="8">
        <v>7</v>
      </c>
      <c r="O346" s="8">
        <v>10</v>
      </c>
      <c r="P346" s="8"/>
      <c r="R346">
        <f t="shared" si="56"/>
        <v>1</v>
      </c>
      <c r="S346">
        <f t="shared" si="57"/>
        <v>0</v>
      </c>
      <c r="T346">
        <f t="shared" si="58"/>
        <v>0</v>
      </c>
      <c r="U346">
        <f t="shared" si="59"/>
        <v>29.6</v>
      </c>
      <c r="V346" t="str">
        <f t="shared" si="60"/>
        <v/>
      </c>
      <c r="W346" t="str">
        <f t="shared" si="61"/>
        <v/>
      </c>
      <c r="X346">
        <f t="shared" si="62"/>
        <v>1</v>
      </c>
    </row>
    <row r="347" spans="1:24" x14ac:dyDescent="0.25">
      <c r="A347" s="8">
        <v>31</v>
      </c>
      <c r="B347" s="8">
        <v>13</v>
      </c>
      <c r="C347" s="8">
        <v>91</v>
      </c>
      <c r="D347" s="8">
        <v>1</v>
      </c>
      <c r="E347" s="8">
        <v>40.799999999999997</v>
      </c>
      <c r="F347" s="8">
        <v>2615</v>
      </c>
      <c r="G347" s="8">
        <v>8.6</v>
      </c>
      <c r="H347" s="8">
        <v>2</v>
      </c>
      <c r="I347" s="8">
        <v>12</v>
      </c>
      <c r="J347" s="8">
        <v>54837120</v>
      </c>
      <c r="K347" s="8">
        <v>1</v>
      </c>
      <c r="L347" s="8">
        <v>1</v>
      </c>
      <c r="M347" s="8">
        <v>1</v>
      </c>
      <c r="N347" s="8">
        <v>9</v>
      </c>
      <c r="O347" s="8">
        <v>9</v>
      </c>
      <c r="P347" s="8"/>
      <c r="R347">
        <f t="shared" si="56"/>
        <v>1</v>
      </c>
      <c r="S347">
        <f t="shared" si="57"/>
        <v>0</v>
      </c>
      <c r="T347">
        <f t="shared" si="58"/>
        <v>0</v>
      </c>
      <c r="U347">
        <f t="shared" si="59"/>
        <v>40.799999999999997</v>
      </c>
      <c r="V347" t="str">
        <f t="shared" si="60"/>
        <v/>
      </c>
      <c r="W347" t="str">
        <f t="shared" si="61"/>
        <v/>
      </c>
      <c r="X347">
        <f t="shared" si="62"/>
        <v>1</v>
      </c>
    </row>
    <row r="348" spans="1:24" x14ac:dyDescent="0.25">
      <c r="A348" s="8">
        <v>31</v>
      </c>
      <c r="B348" s="8">
        <v>14</v>
      </c>
      <c r="C348" s="8">
        <v>100</v>
      </c>
      <c r="D348" s="8">
        <v>1</v>
      </c>
      <c r="E348" s="8">
        <v>52.2</v>
      </c>
      <c r="F348" s="8">
        <v>587</v>
      </c>
      <c r="G348" s="8">
        <v>9.6999999999999993</v>
      </c>
      <c r="H348" s="8">
        <v>2</v>
      </c>
      <c r="I348" s="8">
        <v>13</v>
      </c>
      <c r="J348" s="8">
        <v>54837120</v>
      </c>
      <c r="K348" s="8">
        <v>3</v>
      </c>
      <c r="L348" s="8">
        <v>3</v>
      </c>
      <c r="M348" s="8">
        <v>1</v>
      </c>
      <c r="N348" s="8">
        <v>7</v>
      </c>
      <c r="O348" s="8">
        <v>10</v>
      </c>
      <c r="P348" s="8"/>
      <c r="R348">
        <f t="shared" si="56"/>
        <v>1</v>
      </c>
      <c r="S348">
        <f t="shared" si="57"/>
        <v>0</v>
      </c>
      <c r="T348">
        <f t="shared" si="58"/>
        <v>0</v>
      </c>
      <c r="U348">
        <f t="shared" si="59"/>
        <v>52.2</v>
      </c>
      <c r="V348" t="str">
        <f t="shared" si="60"/>
        <v/>
      </c>
      <c r="W348" t="str">
        <f t="shared" si="61"/>
        <v/>
      </c>
      <c r="X348">
        <f t="shared" si="62"/>
        <v>1</v>
      </c>
    </row>
    <row r="349" spans="1:24" x14ac:dyDescent="0.25">
      <c r="A349" s="8">
        <v>31</v>
      </c>
      <c r="B349" s="8">
        <v>15</v>
      </c>
      <c r="C349" s="8">
        <v>88</v>
      </c>
      <c r="D349" s="8">
        <v>2</v>
      </c>
      <c r="E349" s="8">
        <v>77.8</v>
      </c>
      <c r="F349" s="8">
        <v>1238</v>
      </c>
      <c r="G349" s="8">
        <v>8.5</v>
      </c>
      <c r="H349" s="8">
        <v>2</v>
      </c>
      <c r="I349" s="8">
        <v>12</v>
      </c>
      <c r="J349" s="8">
        <v>109674240</v>
      </c>
      <c r="K349" s="8">
        <v>1</v>
      </c>
      <c r="L349" s="8">
        <v>1</v>
      </c>
      <c r="M349" s="8">
        <v>1</v>
      </c>
      <c r="N349" s="8">
        <v>7</v>
      </c>
      <c r="O349" s="8">
        <v>10</v>
      </c>
      <c r="P349" s="8"/>
      <c r="R349">
        <f t="shared" si="56"/>
        <v>0</v>
      </c>
      <c r="S349">
        <f t="shared" si="57"/>
        <v>1</v>
      </c>
      <c r="T349">
        <f t="shared" si="58"/>
        <v>0</v>
      </c>
      <c r="U349" t="str">
        <f t="shared" si="59"/>
        <v/>
      </c>
      <c r="V349">
        <f t="shared" si="60"/>
        <v>77.8</v>
      </c>
      <c r="W349" t="str">
        <f t="shared" si="61"/>
        <v/>
      </c>
      <c r="X349">
        <f t="shared" si="62"/>
        <v>1</v>
      </c>
    </row>
    <row r="350" spans="1:24" x14ac:dyDescent="0.25">
      <c r="A350" s="8">
        <v>31</v>
      </c>
      <c r="B350" s="8">
        <v>16</v>
      </c>
      <c r="C350" s="8">
        <v>78</v>
      </c>
      <c r="D350" s="8">
        <v>1</v>
      </c>
      <c r="E350" s="8">
        <v>23.5</v>
      </c>
      <c r="F350" s="8">
        <v>561</v>
      </c>
      <c r="G350" s="8">
        <v>7.7</v>
      </c>
      <c r="H350" s="8">
        <v>2</v>
      </c>
      <c r="I350" s="8">
        <v>11</v>
      </c>
      <c r="J350" s="8">
        <v>54837120</v>
      </c>
      <c r="K350" s="8">
        <v>1</v>
      </c>
      <c r="L350" s="8">
        <v>1</v>
      </c>
      <c r="M350" s="8">
        <v>1</v>
      </c>
      <c r="N350" s="8">
        <v>8</v>
      </c>
      <c r="O350" s="8">
        <v>9</v>
      </c>
      <c r="P350" s="8"/>
      <c r="R350">
        <f t="shared" si="56"/>
        <v>1</v>
      </c>
      <c r="S350">
        <f t="shared" si="57"/>
        <v>0</v>
      </c>
      <c r="T350">
        <f t="shared" si="58"/>
        <v>0</v>
      </c>
      <c r="U350">
        <f t="shared" si="59"/>
        <v>23.5</v>
      </c>
      <c r="V350" t="str">
        <f t="shared" si="60"/>
        <v/>
      </c>
      <c r="W350" t="str">
        <f t="shared" si="61"/>
        <v/>
      </c>
      <c r="X350">
        <f t="shared" si="62"/>
        <v>1</v>
      </c>
    </row>
    <row r="351" spans="1:24" x14ac:dyDescent="0.25">
      <c r="A351" s="8">
        <v>31</v>
      </c>
      <c r="B351" s="8">
        <v>17</v>
      </c>
      <c r="C351" s="8">
        <v>100</v>
      </c>
      <c r="D351" s="8">
        <v>2</v>
      </c>
      <c r="E351" s="8">
        <v>47</v>
      </c>
      <c r="F351" s="8">
        <v>1878</v>
      </c>
      <c r="G351" s="8">
        <v>9.1999999999999993</v>
      </c>
      <c r="H351" s="8">
        <v>2</v>
      </c>
      <c r="I351" s="8">
        <v>14</v>
      </c>
      <c r="J351" s="8">
        <v>109674240</v>
      </c>
      <c r="K351" s="8">
        <v>3</v>
      </c>
      <c r="L351" s="8">
        <v>3</v>
      </c>
      <c r="M351" s="8">
        <v>1</v>
      </c>
      <c r="N351" s="8">
        <v>9</v>
      </c>
      <c r="O351" s="8">
        <v>10</v>
      </c>
      <c r="P351" s="8"/>
      <c r="R351">
        <f t="shared" ref="R351:R414" si="63">IF(D351=1,1,0)</f>
        <v>0</v>
      </c>
      <c r="S351">
        <f t="shared" ref="S351:S414" si="64">IF(D351=2,1,0)</f>
        <v>1</v>
      </c>
      <c r="T351">
        <f t="shared" ref="T351:T414" si="65">IF(D351=3,1,0)</f>
        <v>0</v>
      </c>
      <c r="U351" t="str">
        <f t="shared" si="59"/>
        <v/>
      </c>
      <c r="V351">
        <f t="shared" si="60"/>
        <v>47</v>
      </c>
      <c r="W351" t="str">
        <f t="shared" si="61"/>
        <v/>
      </c>
      <c r="X351">
        <f t="shared" si="62"/>
        <v>1</v>
      </c>
    </row>
    <row r="352" spans="1:24" x14ac:dyDescent="0.25">
      <c r="A352" s="8">
        <v>31</v>
      </c>
      <c r="B352" s="8">
        <v>18</v>
      </c>
      <c r="C352" s="8">
        <v>100</v>
      </c>
      <c r="D352" s="8">
        <v>1</v>
      </c>
      <c r="E352" s="8">
        <v>32.700000000000003</v>
      </c>
      <c r="F352" s="8">
        <v>1815</v>
      </c>
      <c r="G352" s="8">
        <v>9.8000000000000007</v>
      </c>
      <c r="H352" s="8">
        <v>2</v>
      </c>
      <c r="I352" s="8">
        <v>13</v>
      </c>
      <c r="J352" s="8">
        <v>54837120</v>
      </c>
      <c r="K352" s="8">
        <v>1</v>
      </c>
      <c r="L352" s="8">
        <v>1</v>
      </c>
      <c r="M352" s="8">
        <v>1</v>
      </c>
      <c r="N352" s="8">
        <v>10</v>
      </c>
      <c r="O352" s="8">
        <v>10</v>
      </c>
      <c r="P352" s="8"/>
      <c r="R352">
        <f t="shared" si="63"/>
        <v>1</v>
      </c>
      <c r="S352">
        <f t="shared" si="64"/>
        <v>0</v>
      </c>
      <c r="T352">
        <f t="shared" si="65"/>
        <v>0</v>
      </c>
      <c r="U352">
        <f t="shared" si="59"/>
        <v>32.700000000000003</v>
      </c>
      <c r="V352" t="str">
        <f t="shared" si="60"/>
        <v/>
      </c>
      <c r="W352" t="str">
        <f t="shared" si="61"/>
        <v/>
      </c>
      <c r="X352">
        <f t="shared" si="62"/>
        <v>1</v>
      </c>
    </row>
    <row r="353" spans="1:24" x14ac:dyDescent="0.25">
      <c r="A353" s="8">
        <v>31</v>
      </c>
      <c r="B353" s="8">
        <v>19</v>
      </c>
      <c r="C353" s="8">
        <v>100</v>
      </c>
      <c r="D353" s="8">
        <v>1</v>
      </c>
      <c r="E353" s="8">
        <v>13.3</v>
      </c>
      <c r="F353" s="8">
        <v>189</v>
      </c>
      <c r="G353" s="8">
        <v>8.6999999999999993</v>
      </c>
      <c r="H353" s="8">
        <v>2</v>
      </c>
      <c r="I353" s="8">
        <v>11</v>
      </c>
      <c r="J353" s="8">
        <v>54837120</v>
      </c>
      <c r="K353" s="8">
        <v>2</v>
      </c>
      <c r="L353" s="8">
        <v>2</v>
      </c>
      <c r="M353" s="8">
        <v>2</v>
      </c>
      <c r="N353" s="8">
        <v>9</v>
      </c>
      <c r="O353" s="8">
        <v>10</v>
      </c>
      <c r="P353" s="8"/>
      <c r="R353">
        <f t="shared" si="63"/>
        <v>1</v>
      </c>
      <c r="S353">
        <f t="shared" si="64"/>
        <v>0</v>
      </c>
      <c r="T353">
        <f t="shared" si="65"/>
        <v>0</v>
      </c>
      <c r="U353">
        <f t="shared" ref="U353:U416" si="66">IF(D353=1,E353,"")</f>
        <v>13.3</v>
      </c>
      <c r="V353" t="str">
        <f t="shared" ref="V353:V416" si="67">IF(D353=2,E353,"")</f>
        <v/>
      </c>
      <c r="W353" t="str">
        <f t="shared" ref="W353:W416" si="68">IF(D353=3,E353,"")</f>
        <v/>
      </c>
      <c r="X353">
        <f t="shared" si="62"/>
        <v>1</v>
      </c>
    </row>
    <row r="354" spans="1:24" x14ac:dyDescent="0.25">
      <c r="A354" s="8">
        <v>31</v>
      </c>
      <c r="B354" s="8">
        <v>20</v>
      </c>
      <c r="C354" s="8">
        <v>89</v>
      </c>
      <c r="D354" s="8">
        <v>1</v>
      </c>
      <c r="E354" s="8">
        <v>35.799999999999997</v>
      </c>
      <c r="F354" s="8">
        <v>774</v>
      </c>
      <c r="G354" s="8">
        <v>8.6</v>
      </c>
      <c r="H354" s="8">
        <v>2</v>
      </c>
      <c r="I354" s="8">
        <v>12</v>
      </c>
      <c r="J354" s="8">
        <v>54837120</v>
      </c>
      <c r="K354" s="8">
        <v>2</v>
      </c>
      <c r="L354" s="8">
        <v>2</v>
      </c>
      <c r="M354" s="8">
        <v>1</v>
      </c>
      <c r="N354" s="8">
        <v>8</v>
      </c>
      <c r="O354" s="8">
        <v>9</v>
      </c>
      <c r="P354" s="8"/>
      <c r="R354">
        <f t="shared" si="63"/>
        <v>1</v>
      </c>
      <c r="S354">
        <f t="shared" si="64"/>
        <v>0</v>
      </c>
      <c r="T354">
        <f t="shared" si="65"/>
        <v>0</v>
      </c>
      <c r="U354">
        <f t="shared" si="66"/>
        <v>35.799999999999997</v>
      </c>
      <c r="V354" t="str">
        <f t="shared" si="67"/>
        <v/>
      </c>
      <c r="W354" t="str">
        <f t="shared" si="68"/>
        <v/>
      </c>
      <c r="X354">
        <f t="shared" si="62"/>
        <v>1</v>
      </c>
    </row>
    <row r="355" spans="1:24" x14ac:dyDescent="0.25">
      <c r="A355" s="8">
        <v>31</v>
      </c>
      <c r="B355" s="8">
        <v>21</v>
      </c>
      <c r="C355" s="8">
        <v>100</v>
      </c>
      <c r="D355" s="8">
        <v>1</v>
      </c>
      <c r="E355" s="8">
        <v>30.5</v>
      </c>
      <c r="F355" s="8">
        <v>881</v>
      </c>
      <c r="G355" s="8">
        <v>8.8000000000000007</v>
      </c>
      <c r="H355" s="8">
        <v>2</v>
      </c>
      <c r="I355" s="8">
        <v>12</v>
      </c>
      <c r="J355" s="8">
        <v>54837120</v>
      </c>
      <c r="K355" s="8">
        <v>4</v>
      </c>
      <c r="L355" s="8">
        <v>4</v>
      </c>
      <c r="M355" s="8">
        <v>1</v>
      </c>
      <c r="N355" s="8">
        <v>6</v>
      </c>
      <c r="O355" s="8">
        <v>10</v>
      </c>
      <c r="P355" s="8"/>
      <c r="R355">
        <f t="shared" si="63"/>
        <v>1</v>
      </c>
      <c r="S355">
        <f t="shared" si="64"/>
        <v>0</v>
      </c>
      <c r="T355">
        <f t="shared" si="65"/>
        <v>0</v>
      </c>
      <c r="U355">
        <f t="shared" si="66"/>
        <v>30.5</v>
      </c>
      <c r="V355" t="str">
        <f t="shared" si="67"/>
        <v/>
      </c>
      <c r="W355" t="str">
        <f t="shared" si="68"/>
        <v/>
      </c>
      <c r="X355">
        <f t="shared" si="62"/>
        <v>1</v>
      </c>
    </row>
    <row r="356" spans="1:24" x14ac:dyDescent="0.25">
      <c r="A356" s="8">
        <v>31</v>
      </c>
      <c r="B356" s="8">
        <v>22</v>
      </c>
      <c r="C356" s="8">
        <v>100</v>
      </c>
      <c r="D356" s="8">
        <v>1</v>
      </c>
      <c r="E356" s="8">
        <v>30.7</v>
      </c>
      <c r="F356" s="8">
        <v>1216</v>
      </c>
      <c r="G356" s="8">
        <v>10.1</v>
      </c>
      <c r="H356" s="8">
        <v>2</v>
      </c>
      <c r="I356" s="8">
        <v>15</v>
      </c>
      <c r="J356" s="8">
        <v>54837120</v>
      </c>
      <c r="K356" s="8">
        <v>1</v>
      </c>
      <c r="L356" s="8">
        <v>1</v>
      </c>
      <c r="M356" s="8">
        <v>1</v>
      </c>
      <c r="N356" s="8">
        <v>9</v>
      </c>
      <c r="O356" s="8">
        <v>10</v>
      </c>
      <c r="P356" s="8"/>
      <c r="R356">
        <f t="shared" si="63"/>
        <v>1</v>
      </c>
      <c r="S356">
        <f t="shared" si="64"/>
        <v>0</v>
      </c>
      <c r="T356">
        <f t="shared" si="65"/>
        <v>0</v>
      </c>
      <c r="U356">
        <f t="shared" si="66"/>
        <v>30.7</v>
      </c>
      <c r="V356" t="str">
        <f t="shared" si="67"/>
        <v/>
      </c>
      <c r="W356" t="str">
        <f t="shared" si="68"/>
        <v/>
      </c>
      <c r="X356">
        <f t="shared" si="62"/>
        <v>1</v>
      </c>
    </row>
    <row r="357" spans="1:24" x14ac:dyDescent="0.25">
      <c r="A357" s="8">
        <v>31</v>
      </c>
      <c r="B357" s="8">
        <v>23</v>
      </c>
      <c r="C357" s="8">
        <v>89</v>
      </c>
      <c r="D357" s="8">
        <v>1</v>
      </c>
      <c r="E357" s="8">
        <v>48.1</v>
      </c>
      <c r="F357" s="8">
        <v>1414</v>
      </c>
      <c r="G357" s="8">
        <v>9.3000000000000007</v>
      </c>
      <c r="H357" s="8">
        <v>2</v>
      </c>
      <c r="I357" s="8">
        <v>12</v>
      </c>
      <c r="J357" s="8">
        <v>54837120</v>
      </c>
      <c r="K357" s="8">
        <v>1</v>
      </c>
      <c r="L357" s="8">
        <v>1</v>
      </c>
      <c r="M357" s="8">
        <v>1</v>
      </c>
      <c r="N357" s="8">
        <v>8</v>
      </c>
      <c r="O357" s="8">
        <v>9</v>
      </c>
      <c r="P357" s="8"/>
      <c r="R357">
        <f t="shared" si="63"/>
        <v>1</v>
      </c>
      <c r="S357">
        <f t="shared" si="64"/>
        <v>0</v>
      </c>
      <c r="T357">
        <f t="shared" si="65"/>
        <v>0</v>
      </c>
      <c r="U357">
        <f t="shared" si="66"/>
        <v>48.1</v>
      </c>
      <c r="V357" t="str">
        <f t="shared" si="67"/>
        <v/>
      </c>
      <c r="W357" t="str">
        <f t="shared" si="68"/>
        <v/>
      </c>
      <c r="X357">
        <f t="shared" si="62"/>
        <v>1</v>
      </c>
    </row>
    <row r="358" spans="1:24" x14ac:dyDescent="0.25">
      <c r="A358" s="8">
        <v>31</v>
      </c>
      <c r="B358" s="8">
        <v>24</v>
      </c>
      <c r="C358" s="8">
        <v>100</v>
      </c>
      <c r="D358" s="8">
        <v>1</v>
      </c>
      <c r="E358" s="8">
        <v>53.2</v>
      </c>
      <c r="F358" s="8">
        <v>238</v>
      </c>
      <c r="G358" s="8">
        <v>10.1</v>
      </c>
      <c r="H358" s="8">
        <v>2</v>
      </c>
      <c r="I358" s="8">
        <v>15</v>
      </c>
      <c r="J358" s="8">
        <v>54837120</v>
      </c>
      <c r="K358" s="8">
        <v>3</v>
      </c>
      <c r="L358" s="8">
        <v>1</v>
      </c>
      <c r="M358" s="8">
        <v>1</v>
      </c>
      <c r="N358" s="8">
        <v>9</v>
      </c>
      <c r="O358" s="8">
        <v>10</v>
      </c>
      <c r="P358" s="8"/>
      <c r="R358">
        <f t="shared" si="63"/>
        <v>1</v>
      </c>
      <c r="S358">
        <f t="shared" si="64"/>
        <v>0</v>
      </c>
      <c r="T358">
        <f t="shared" si="65"/>
        <v>0</v>
      </c>
      <c r="U358">
        <f t="shared" si="66"/>
        <v>53.2</v>
      </c>
      <c r="V358" t="str">
        <f t="shared" si="67"/>
        <v/>
      </c>
      <c r="W358" t="str">
        <f t="shared" si="68"/>
        <v/>
      </c>
      <c r="X358">
        <f t="shared" si="62"/>
        <v>1</v>
      </c>
    </row>
    <row r="359" spans="1:24" x14ac:dyDescent="0.25">
      <c r="A359" s="8">
        <v>31</v>
      </c>
      <c r="B359" s="8">
        <v>25</v>
      </c>
      <c r="C359" s="8">
        <v>100</v>
      </c>
      <c r="D359" s="8">
        <v>2</v>
      </c>
      <c r="E359" s="8">
        <v>122.2</v>
      </c>
      <c r="F359" s="8">
        <v>2225</v>
      </c>
      <c r="G359" s="8">
        <v>10.199999999999999</v>
      </c>
      <c r="H359" s="8">
        <v>2</v>
      </c>
      <c r="I359" s="8">
        <v>14</v>
      </c>
      <c r="J359" s="8">
        <v>109674240</v>
      </c>
      <c r="K359" s="8">
        <v>1</v>
      </c>
      <c r="L359" s="8">
        <v>1</v>
      </c>
      <c r="M359" s="8">
        <v>1</v>
      </c>
      <c r="N359" s="8">
        <v>8</v>
      </c>
      <c r="O359" s="8">
        <v>10</v>
      </c>
      <c r="P359" s="8"/>
      <c r="R359">
        <f t="shared" si="63"/>
        <v>0</v>
      </c>
      <c r="S359">
        <f t="shared" si="64"/>
        <v>1</v>
      </c>
      <c r="T359">
        <f t="shared" si="65"/>
        <v>0</v>
      </c>
      <c r="U359" t="str">
        <f t="shared" si="66"/>
        <v/>
      </c>
      <c r="V359">
        <f t="shared" si="67"/>
        <v>122.2</v>
      </c>
      <c r="W359" t="str">
        <f t="shared" si="68"/>
        <v/>
      </c>
      <c r="X359">
        <f t="shared" si="62"/>
        <v>1</v>
      </c>
    </row>
    <row r="360" spans="1:24" x14ac:dyDescent="0.25">
      <c r="A360" s="8">
        <v>31</v>
      </c>
      <c r="B360" s="8">
        <v>26</v>
      </c>
      <c r="C360" s="8">
        <v>100</v>
      </c>
      <c r="D360" s="8">
        <v>2</v>
      </c>
      <c r="E360" s="8">
        <v>79.599999999999994</v>
      </c>
      <c r="F360" s="8">
        <v>378</v>
      </c>
      <c r="G360" s="8">
        <v>10.7</v>
      </c>
      <c r="H360" s="8">
        <v>2</v>
      </c>
      <c r="I360" s="8">
        <v>15</v>
      </c>
      <c r="J360" s="8">
        <v>109674240</v>
      </c>
      <c r="K360" s="8">
        <v>1</v>
      </c>
      <c r="L360" s="8">
        <v>1</v>
      </c>
      <c r="M360" s="8">
        <v>1</v>
      </c>
      <c r="N360" s="8">
        <v>8</v>
      </c>
      <c r="O360" s="8">
        <v>10</v>
      </c>
      <c r="P360" s="8"/>
      <c r="R360">
        <f t="shared" si="63"/>
        <v>0</v>
      </c>
      <c r="S360">
        <f t="shared" si="64"/>
        <v>1</v>
      </c>
      <c r="T360">
        <f t="shared" si="65"/>
        <v>0</v>
      </c>
      <c r="U360" t="str">
        <f t="shared" si="66"/>
        <v/>
      </c>
      <c r="V360">
        <f t="shared" si="67"/>
        <v>79.599999999999994</v>
      </c>
      <c r="W360" t="str">
        <f t="shared" si="68"/>
        <v/>
      </c>
      <c r="X360">
        <f t="shared" si="62"/>
        <v>1</v>
      </c>
    </row>
    <row r="361" spans="1:24" x14ac:dyDescent="0.25">
      <c r="A361" s="8">
        <v>31</v>
      </c>
      <c r="B361" s="8">
        <v>27</v>
      </c>
      <c r="C361" s="8">
        <v>100</v>
      </c>
      <c r="D361" s="8">
        <v>1</v>
      </c>
      <c r="E361" s="8">
        <v>22.5</v>
      </c>
      <c r="F361" s="8">
        <v>243</v>
      </c>
      <c r="G361" s="8">
        <v>7.5</v>
      </c>
      <c r="H361" s="8">
        <v>2</v>
      </c>
      <c r="I361" s="8">
        <v>13</v>
      </c>
      <c r="J361" s="8">
        <v>54837120</v>
      </c>
      <c r="K361" s="8">
        <v>1</v>
      </c>
      <c r="L361" s="8">
        <v>1</v>
      </c>
      <c r="M361" s="8">
        <v>1</v>
      </c>
      <c r="N361" s="8">
        <v>8</v>
      </c>
      <c r="O361" s="8">
        <v>10</v>
      </c>
      <c r="P361" s="8"/>
      <c r="R361">
        <f t="shared" si="63"/>
        <v>1</v>
      </c>
      <c r="S361">
        <f t="shared" si="64"/>
        <v>0</v>
      </c>
      <c r="T361">
        <f t="shared" si="65"/>
        <v>0</v>
      </c>
      <c r="U361">
        <f t="shared" si="66"/>
        <v>22.5</v>
      </c>
      <c r="V361" t="str">
        <f t="shared" si="67"/>
        <v/>
      </c>
      <c r="W361" t="str">
        <f t="shared" si="68"/>
        <v/>
      </c>
      <c r="X361">
        <f t="shared" si="62"/>
        <v>1</v>
      </c>
    </row>
    <row r="362" spans="1:24" x14ac:dyDescent="0.25">
      <c r="A362" s="8">
        <v>31</v>
      </c>
      <c r="B362" s="8">
        <v>28</v>
      </c>
      <c r="C362" s="8">
        <v>100</v>
      </c>
      <c r="D362" s="8">
        <v>1</v>
      </c>
      <c r="E362" s="8">
        <v>34.700000000000003</v>
      </c>
      <c r="F362" s="8">
        <v>839</v>
      </c>
      <c r="G362" s="8">
        <v>8.1</v>
      </c>
      <c r="H362" s="8">
        <v>2</v>
      </c>
      <c r="I362" s="8">
        <v>12</v>
      </c>
      <c r="J362" s="8">
        <v>54837120</v>
      </c>
      <c r="K362" s="8">
        <v>1</v>
      </c>
      <c r="L362" s="8">
        <v>1</v>
      </c>
      <c r="M362" s="8">
        <v>1</v>
      </c>
      <c r="N362" s="8">
        <v>8</v>
      </c>
      <c r="O362" s="8">
        <v>10</v>
      </c>
      <c r="P362" s="8"/>
      <c r="R362">
        <f t="shared" si="63"/>
        <v>1</v>
      </c>
      <c r="S362">
        <f t="shared" si="64"/>
        <v>0</v>
      </c>
      <c r="T362">
        <f t="shared" si="65"/>
        <v>0</v>
      </c>
      <c r="U362">
        <f t="shared" si="66"/>
        <v>34.700000000000003</v>
      </c>
      <c r="V362" t="str">
        <f t="shared" si="67"/>
        <v/>
      </c>
      <c r="W362" t="str">
        <f t="shared" si="68"/>
        <v/>
      </c>
      <c r="X362">
        <f t="shared" si="62"/>
        <v>1</v>
      </c>
    </row>
    <row r="363" spans="1:24" x14ac:dyDescent="0.25">
      <c r="A363" s="8">
        <v>31</v>
      </c>
      <c r="B363" s="8">
        <v>29</v>
      </c>
      <c r="C363" s="8">
        <v>44</v>
      </c>
      <c r="D363" s="8">
        <v>1</v>
      </c>
      <c r="E363" s="8">
        <v>50.9</v>
      </c>
      <c r="F363" s="8">
        <v>653</v>
      </c>
      <c r="G363" s="8">
        <v>9.6</v>
      </c>
      <c r="H363" s="8">
        <v>2</v>
      </c>
      <c r="I363" s="8">
        <v>14</v>
      </c>
      <c r="J363" s="8">
        <v>54837120</v>
      </c>
      <c r="K363" s="8">
        <v>1</v>
      </c>
      <c r="L363" s="8">
        <v>1</v>
      </c>
      <c r="M363" s="8">
        <v>1</v>
      </c>
      <c r="N363" s="8">
        <v>7</v>
      </c>
      <c r="O363" s="8">
        <v>10</v>
      </c>
      <c r="P363" s="8"/>
      <c r="R363">
        <f t="shared" si="63"/>
        <v>1</v>
      </c>
      <c r="S363">
        <f t="shared" si="64"/>
        <v>0</v>
      </c>
      <c r="T363">
        <f t="shared" si="65"/>
        <v>0</v>
      </c>
      <c r="U363">
        <f t="shared" si="66"/>
        <v>50.9</v>
      </c>
      <c r="V363" t="str">
        <f t="shared" si="67"/>
        <v/>
      </c>
      <c r="W363" t="str">
        <f t="shared" si="68"/>
        <v/>
      </c>
      <c r="X363">
        <f t="shared" si="62"/>
        <v>1</v>
      </c>
    </row>
    <row r="364" spans="1:24" x14ac:dyDescent="0.25">
      <c r="A364" s="8">
        <v>32</v>
      </c>
      <c r="B364" s="8">
        <v>0</v>
      </c>
      <c r="C364" s="8">
        <v>72</v>
      </c>
      <c r="D364" s="8">
        <v>1</v>
      </c>
      <c r="E364" s="8">
        <v>51.1</v>
      </c>
      <c r="F364" s="8">
        <v>4219</v>
      </c>
      <c r="G364" s="8">
        <v>10.6</v>
      </c>
      <c r="H364" s="8">
        <v>2</v>
      </c>
      <c r="I364" s="8">
        <v>15</v>
      </c>
      <c r="J364" s="8">
        <v>54837120</v>
      </c>
      <c r="K364" s="8">
        <v>2</v>
      </c>
      <c r="L364" s="8">
        <v>2</v>
      </c>
      <c r="M364" s="8">
        <v>1</v>
      </c>
      <c r="N364" s="8">
        <v>9</v>
      </c>
      <c r="O364" s="8">
        <v>10</v>
      </c>
      <c r="P364" s="8"/>
      <c r="R364">
        <f t="shared" si="63"/>
        <v>1</v>
      </c>
      <c r="S364">
        <f t="shared" si="64"/>
        <v>0</v>
      </c>
      <c r="T364">
        <f t="shared" si="65"/>
        <v>0</v>
      </c>
      <c r="U364">
        <f t="shared" si="66"/>
        <v>51.1</v>
      </c>
      <c r="V364" t="str">
        <f t="shared" si="67"/>
        <v/>
      </c>
      <c r="W364" t="str">
        <f t="shared" si="68"/>
        <v/>
      </c>
      <c r="X364">
        <f t="shared" si="62"/>
        <v>1</v>
      </c>
    </row>
    <row r="365" spans="1:24" x14ac:dyDescent="0.25">
      <c r="A365" s="8">
        <v>32</v>
      </c>
      <c r="B365" s="8">
        <v>1</v>
      </c>
      <c r="C365" s="8">
        <v>100</v>
      </c>
      <c r="D365" s="8">
        <v>1</v>
      </c>
      <c r="E365" s="8">
        <v>57.5</v>
      </c>
      <c r="F365" s="8">
        <v>4232</v>
      </c>
      <c r="G365" s="8">
        <v>12.4</v>
      </c>
      <c r="H365" s="8">
        <v>3</v>
      </c>
      <c r="I365" s="8">
        <v>17</v>
      </c>
      <c r="J365" s="8">
        <v>54837120</v>
      </c>
      <c r="K365" s="8">
        <v>1</v>
      </c>
      <c r="L365" s="8">
        <v>1</v>
      </c>
      <c r="M365" s="8">
        <v>1</v>
      </c>
      <c r="N365" s="8">
        <v>9</v>
      </c>
      <c r="O365" s="8">
        <v>10</v>
      </c>
      <c r="P365" s="8"/>
      <c r="R365">
        <f t="shared" si="63"/>
        <v>1</v>
      </c>
      <c r="S365">
        <f t="shared" si="64"/>
        <v>0</v>
      </c>
      <c r="T365">
        <f t="shared" si="65"/>
        <v>0</v>
      </c>
      <c r="U365">
        <f t="shared" si="66"/>
        <v>57.5</v>
      </c>
      <c r="V365" t="str">
        <f t="shared" si="67"/>
        <v/>
      </c>
      <c r="W365" t="str">
        <f t="shared" si="68"/>
        <v/>
      </c>
      <c r="X365">
        <f t="shared" si="62"/>
        <v>1</v>
      </c>
    </row>
    <row r="366" spans="1:24" x14ac:dyDescent="0.25">
      <c r="A366" s="8">
        <v>32</v>
      </c>
      <c r="B366" s="8">
        <v>2</v>
      </c>
      <c r="C366" s="8">
        <v>100</v>
      </c>
      <c r="D366" s="8">
        <v>1</v>
      </c>
      <c r="E366" s="8">
        <v>58.3</v>
      </c>
      <c r="F366" s="8">
        <v>2122</v>
      </c>
      <c r="G366" s="8">
        <v>10.1</v>
      </c>
      <c r="H366" s="8">
        <v>2</v>
      </c>
      <c r="I366" s="8">
        <v>14</v>
      </c>
      <c r="J366" s="8">
        <v>54837120</v>
      </c>
      <c r="K366" s="8">
        <v>1</v>
      </c>
      <c r="L366" s="8">
        <v>1</v>
      </c>
      <c r="M366" s="8">
        <v>1</v>
      </c>
      <c r="N366" s="8">
        <v>8</v>
      </c>
      <c r="O366" s="8">
        <v>10</v>
      </c>
      <c r="P366" s="8"/>
      <c r="R366">
        <f t="shared" si="63"/>
        <v>1</v>
      </c>
      <c r="S366">
        <f t="shared" si="64"/>
        <v>0</v>
      </c>
      <c r="T366">
        <f t="shared" si="65"/>
        <v>0</v>
      </c>
      <c r="U366">
        <f t="shared" si="66"/>
        <v>58.3</v>
      </c>
      <c r="V366" t="str">
        <f t="shared" si="67"/>
        <v/>
      </c>
      <c r="W366" t="str">
        <f t="shared" si="68"/>
        <v/>
      </c>
      <c r="X366">
        <f t="shared" si="62"/>
        <v>1</v>
      </c>
    </row>
    <row r="367" spans="1:24" x14ac:dyDescent="0.25">
      <c r="A367" s="8">
        <v>32</v>
      </c>
      <c r="B367" s="8">
        <v>3</v>
      </c>
      <c r="C367" s="8">
        <v>100</v>
      </c>
      <c r="D367" s="8">
        <v>1</v>
      </c>
      <c r="E367" s="8">
        <v>22.5</v>
      </c>
      <c r="F367" s="8">
        <v>147</v>
      </c>
      <c r="G367" s="8">
        <v>5.9</v>
      </c>
      <c r="H367" s="8">
        <v>2</v>
      </c>
      <c r="I367" s="8">
        <v>8</v>
      </c>
      <c r="J367" s="8">
        <v>54837120</v>
      </c>
      <c r="K367" s="8">
        <v>5</v>
      </c>
      <c r="L367" s="8">
        <v>5</v>
      </c>
      <c r="M367" s="8">
        <v>1</v>
      </c>
      <c r="N367" s="8">
        <v>8</v>
      </c>
      <c r="O367" s="8">
        <v>10</v>
      </c>
      <c r="P367" s="8"/>
      <c r="R367">
        <f t="shared" si="63"/>
        <v>1</v>
      </c>
      <c r="S367">
        <f t="shared" si="64"/>
        <v>0</v>
      </c>
      <c r="T367">
        <f t="shared" si="65"/>
        <v>0</v>
      </c>
      <c r="U367">
        <f t="shared" si="66"/>
        <v>22.5</v>
      </c>
      <c r="V367" t="str">
        <f t="shared" si="67"/>
        <v/>
      </c>
      <c r="W367" t="str">
        <f t="shared" si="68"/>
        <v/>
      </c>
      <c r="X367">
        <f t="shared" si="62"/>
        <v>1</v>
      </c>
    </row>
    <row r="368" spans="1:24" x14ac:dyDescent="0.25">
      <c r="A368" s="8">
        <v>32</v>
      </c>
      <c r="B368" s="8">
        <v>4</v>
      </c>
      <c r="C368" s="8">
        <v>100</v>
      </c>
      <c r="D368" s="8">
        <v>1</v>
      </c>
      <c r="E368" s="8">
        <v>39.9</v>
      </c>
      <c r="F368" s="8">
        <v>1248</v>
      </c>
      <c r="G368" s="8">
        <v>8.9</v>
      </c>
      <c r="H368" s="8">
        <v>2</v>
      </c>
      <c r="I368" s="8">
        <v>12</v>
      </c>
      <c r="J368" s="8">
        <v>54837120</v>
      </c>
      <c r="K368" s="8">
        <v>6</v>
      </c>
      <c r="L368" s="8">
        <v>6</v>
      </c>
      <c r="M368" s="8">
        <v>2</v>
      </c>
      <c r="N368" s="8">
        <v>8</v>
      </c>
      <c r="O368" s="8">
        <v>10</v>
      </c>
      <c r="P368" s="8"/>
      <c r="R368">
        <f t="shared" si="63"/>
        <v>1</v>
      </c>
      <c r="S368">
        <f t="shared" si="64"/>
        <v>0</v>
      </c>
      <c r="T368">
        <f t="shared" si="65"/>
        <v>0</v>
      </c>
      <c r="U368">
        <f t="shared" si="66"/>
        <v>39.9</v>
      </c>
      <c r="V368" t="str">
        <f t="shared" si="67"/>
        <v/>
      </c>
      <c r="W368" t="str">
        <f t="shared" si="68"/>
        <v/>
      </c>
      <c r="X368">
        <f t="shared" si="62"/>
        <v>1</v>
      </c>
    </row>
    <row r="369" spans="1:24" x14ac:dyDescent="0.25">
      <c r="A369" s="8">
        <v>32</v>
      </c>
      <c r="B369" s="8">
        <v>5</v>
      </c>
      <c r="C369" s="8">
        <v>100</v>
      </c>
      <c r="D369" s="8">
        <v>1</v>
      </c>
      <c r="E369" s="8">
        <v>50</v>
      </c>
      <c r="F369" s="8">
        <v>1483</v>
      </c>
      <c r="G369" s="8">
        <v>9.5</v>
      </c>
      <c r="H369" s="8">
        <v>2</v>
      </c>
      <c r="I369" s="8">
        <v>13</v>
      </c>
      <c r="J369" s="8">
        <v>54837120</v>
      </c>
      <c r="K369" s="8">
        <v>1</v>
      </c>
      <c r="L369" s="8">
        <v>1</v>
      </c>
      <c r="M369" s="8">
        <v>1</v>
      </c>
      <c r="N369" s="8">
        <v>9</v>
      </c>
      <c r="O369" s="8">
        <v>10</v>
      </c>
      <c r="P369" s="8"/>
      <c r="R369">
        <f t="shared" si="63"/>
        <v>1</v>
      </c>
      <c r="S369">
        <f t="shared" si="64"/>
        <v>0</v>
      </c>
      <c r="T369">
        <f t="shared" si="65"/>
        <v>0</v>
      </c>
      <c r="U369">
        <f t="shared" si="66"/>
        <v>50</v>
      </c>
      <c r="V369" t="str">
        <f t="shared" si="67"/>
        <v/>
      </c>
      <c r="W369" t="str">
        <f t="shared" si="68"/>
        <v/>
      </c>
      <c r="X369">
        <f t="shared" si="62"/>
        <v>1</v>
      </c>
    </row>
    <row r="370" spans="1:24" x14ac:dyDescent="0.25">
      <c r="A370" s="8">
        <v>32</v>
      </c>
      <c r="B370" s="8">
        <v>6</v>
      </c>
      <c r="C370" s="8">
        <v>91</v>
      </c>
      <c r="D370" s="8">
        <v>1</v>
      </c>
      <c r="E370" s="8">
        <v>42</v>
      </c>
      <c r="F370" s="8">
        <v>4763</v>
      </c>
      <c r="G370" s="8">
        <v>13.4</v>
      </c>
      <c r="H370" s="8">
        <v>2</v>
      </c>
      <c r="I370" s="8">
        <v>20</v>
      </c>
      <c r="J370" s="8">
        <v>54837120</v>
      </c>
      <c r="K370" s="8">
        <v>1</v>
      </c>
      <c r="L370" s="8">
        <v>1</v>
      </c>
      <c r="M370" s="8">
        <v>1</v>
      </c>
      <c r="N370" s="8">
        <v>9</v>
      </c>
      <c r="O370" s="8">
        <v>9</v>
      </c>
      <c r="P370" s="8"/>
      <c r="R370">
        <f t="shared" si="63"/>
        <v>1</v>
      </c>
      <c r="S370">
        <f t="shared" si="64"/>
        <v>0</v>
      </c>
      <c r="T370">
        <f t="shared" si="65"/>
        <v>0</v>
      </c>
      <c r="U370">
        <f t="shared" si="66"/>
        <v>42</v>
      </c>
      <c r="V370" t="str">
        <f t="shared" si="67"/>
        <v/>
      </c>
      <c r="W370" t="str">
        <f t="shared" si="68"/>
        <v/>
      </c>
      <c r="X370">
        <f t="shared" si="62"/>
        <v>1</v>
      </c>
    </row>
    <row r="371" spans="1:24" x14ac:dyDescent="0.25">
      <c r="A371" s="8">
        <v>32</v>
      </c>
      <c r="B371" s="8">
        <v>7</v>
      </c>
      <c r="C371" s="8">
        <v>100</v>
      </c>
      <c r="D371" s="8">
        <v>1</v>
      </c>
      <c r="E371" s="8">
        <v>28.6</v>
      </c>
      <c r="F371" s="8">
        <v>748</v>
      </c>
      <c r="G371" s="8">
        <v>8.1999999999999993</v>
      </c>
      <c r="H371" s="8">
        <v>3</v>
      </c>
      <c r="I371" s="8">
        <v>12</v>
      </c>
      <c r="J371" s="8">
        <v>54837120</v>
      </c>
      <c r="K371" s="8">
        <v>1</v>
      </c>
      <c r="L371" s="8">
        <v>1</v>
      </c>
      <c r="M371" s="8">
        <v>1</v>
      </c>
      <c r="N371" s="8">
        <v>8</v>
      </c>
      <c r="O371" s="8">
        <v>10</v>
      </c>
      <c r="P371" s="8"/>
      <c r="R371">
        <f t="shared" si="63"/>
        <v>1</v>
      </c>
      <c r="S371">
        <f t="shared" si="64"/>
        <v>0</v>
      </c>
      <c r="T371">
        <f t="shared" si="65"/>
        <v>0</v>
      </c>
      <c r="U371">
        <f t="shared" si="66"/>
        <v>28.6</v>
      </c>
      <c r="V371" t="str">
        <f t="shared" si="67"/>
        <v/>
      </c>
      <c r="W371" t="str">
        <f t="shared" si="68"/>
        <v/>
      </c>
      <c r="X371">
        <f t="shared" si="62"/>
        <v>1</v>
      </c>
    </row>
    <row r="372" spans="1:24" x14ac:dyDescent="0.25">
      <c r="A372" s="8">
        <v>32</v>
      </c>
      <c r="B372" s="8">
        <v>8</v>
      </c>
      <c r="C372" s="8">
        <v>100</v>
      </c>
      <c r="D372" s="8">
        <v>1</v>
      </c>
      <c r="E372" s="8">
        <v>52</v>
      </c>
      <c r="F372" s="8">
        <v>4061</v>
      </c>
      <c r="G372" s="8">
        <v>9.1</v>
      </c>
      <c r="H372" s="8">
        <v>2</v>
      </c>
      <c r="I372" s="8">
        <v>13</v>
      </c>
      <c r="J372" s="8">
        <v>54837120</v>
      </c>
      <c r="K372" s="8">
        <v>3</v>
      </c>
      <c r="L372" s="8">
        <v>3</v>
      </c>
      <c r="M372" s="8">
        <v>1</v>
      </c>
      <c r="N372" s="8">
        <v>9</v>
      </c>
      <c r="O372" s="8">
        <v>10</v>
      </c>
      <c r="P372" s="8"/>
      <c r="R372">
        <f t="shared" si="63"/>
        <v>1</v>
      </c>
      <c r="S372">
        <f t="shared" si="64"/>
        <v>0</v>
      </c>
      <c r="T372">
        <f t="shared" si="65"/>
        <v>0</v>
      </c>
      <c r="U372">
        <f t="shared" si="66"/>
        <v>52</v>
      </c>
      <c r="V372" t="str">
        <f t="shared" si="67"/>
        <v/>
      </c>
      <c r="W372" t="str">
        <f t="shared" si="68"/>
        <v/>
      </c>
      <c r="X372">
        <f t="shared" si="62"/>
        <v>1</v>
      </c>
    </row>
    <row r="373" spans="1:24" x14ac:dyDescent="0.25">
      <c r="A373" s="8">
        <v>32</v>
      </c>
      <c r="B373" s="8">
        <v>9</v>
      </c>
      <c r="C373" s="8">
        <v>100</v>
      </c>
      <c r="D373" s="8">
        <v>1</v>
      </c>
      <c r="E373" s="8">
        <v>20.399999999999999</v>
      </c>
      <c r="F373" s="8">
        <v>2332</v>
      </c>
      <c r="G373" s="8">
        <v>9</v>
      </c>
      <c r="H373" s="8">
        <v>2</v>
      </c>
      <c r="I373" s="8">
        <v>12</v>
      </c>
      <c r="J373" s="8">
        <v>54837120</v>
      </c>
      <c r="K373" s="8">
        <v>4</v>
      </c>
      <c r="L373" s="8">
        <v>4</v>
      </c>
      <c r="M373" s="8">
        <v>1</v>
      </c>
      <c r="N373" s="8">
        <v>8</v>
      </c>
      <c r="O373" s="8">
        <v>10</v>
      </c>
      <c r="P373" s="8"/>
      <c r="R373">
        <f t="shared" si="63"/>
        <v>1</v>
      </c>
      <c r="S373">
        <f t="shared" si="64"/>
        <v>0</v>
      </c>
      <c r="T373">
        <f t="shared" si="65"/>
        <v>0</v>
      </c>
      <c r="U373">
        <f t="shared" si="66"/>
        <v>20.399999999999999</v>
      </c>
      <c r="V373" t="str">
        <f t="shared" si="67"/>
        <v/>
      </c>
      <c r="W373" t="str">
        <f t="shared" si="68"/>
        <v/>
      </c>
      <c r="X373">
        <f t="shared" si="62"/>
        <v>1</v>
      </c>
    </row>
    <row r="374" spans="1:24" x14ac:dyDescent="0.25">
      <c r="A374" s="8">
        <v>32</v>
      </c>
      <c r="B374" s="8">
        <v>10</v>
      </c>
      <c r="C374" s="8">
        <v>100</v>
      </c>
      <c r="D374" s="8">
        <v>1</v>
      </c>
      <c r="E374" s="8">
        <v>25.6</v>
      </c>
      <c r="F374" s="8">
        <v>126</v>
      </c>
      <c r="G374" s="8">
        <v>5.6</v>
      </c>
      <c r="H374" s="8">
        <v>2</v>
      </c>
      <c r="I374" s="8">
        <v>8</v>
      </c>
      <c r="J374" s="8">
        <v>54837120</v>
      </c>
      <c r="K374" s="8">
        <v>3</v>
      </c>
      <c r="L374" s="8">
        <v>3</v>
      </c>
      <c r="M374" s="8">
        <v>2</v>
      </c>
      <c r="N374" s="8">
        <v>7</v>
      </c>
      <c r="O374" s="8">
        <v>10</v>
      </c>
      <c r="P374" s="8"/>
      <c r="R374">
        <f t="shared" si="63"/>
        <v>1</v>
      </c>
      <c r="S374">
        <f t="shared" si="64"/>
        <v>0</v>
      </c>
      <c r="T374">
        <f t="shared" si="65"/>
        <v>0</v>
      </c>
      <c r="U374">
        <f t="shared" si="66"/>
        <v>25.6</v>
      </c>
      <c r="V374" t="str">
        <f t="shared" si="67"/>
        <v/>
      </c>
      <c r="W374" t="str">
        <f t="shared" si="68"/>
        <v/>
      </c>
      <c r="X374">
        <f t="shared" si="62"/>
        <v>1</v>
      </c>
    </row>
    <row r="375" spans="1:24" x14ac:dyDescent="0.25">
      <c r="A375" s="8">
        <v>32</v>
      </c>
      <c r="B375" s="8">
        <v>11</v>
      </c>
      <c r="C375" s="8">
        <v>86</v>
      </c>
      <c r="D375" s="8">
        <v>1</v>
      </c>
      <c r="E375" s="8">
        <v>51</v>
      </c>
      <c r="F375" s="8">
        <v>854</v>
      </c>
      <c r="G375" s="8">
        <v>8.4</v>
      </c>
      <c r="H375" s="8">
        <v>2</v>
      </c>
      <c r="I375" s="8">
        <v>14</v>
      </c>
      <c r="J375" s="8">
        <v>54837120</v>
      </c>
      <c r="K375" s="8">
        <v>2</v>
      </c>
      <c r="L375" s="8">
        <v>2</v>
      </c>
      <c r="M375" s="8">
        <v>2</v>
      </c>
      <c r="N375" s="8">
        <v>6</v>
      </c>
      <c r="O375" s="8">
        <v>10</v>
      </c>
      <c r="P375" s="8"/>
      <c r="R375">
        <f t="shared" si="63"/>
        <v>1</v>
      </c>
      <c r="S375">
        <f t="shared" si="64"/>
        <v>0</v>
      </c>
      <c r="T375">
        <f t="shared" si="65"/>
        <v>0</v>
      </c>
      <c r="U375">
        <f t="shared" si="66"/>
        <v>51</v>
      </c>
      <c r="V375" t="str">
        <f t="shared" si="67"/>
        <v/>
      </c>
      <c r="W375" t="str">
        <f t="shared" si="68"/>
        <v/>
      </c>
      <c r="X375">
        <f t="shared" si="62"/>
        <v>1</v>
      </c>
    </row>
    <row r="376" spans="1:24" x14ac:dyDescent="0.25">
      <c r="A376" s="8">
        <v>32</v>
      </c>
      <c r="B376" s="8">
        <v>12</v>
      </c>
      <c r="C376" s="8">
        <v>100</v>
      </c>
      <c r="D376" s="8">
        <v>1</v>
      </c>
      <c r="E376" s="8">
        <v>41</v>
      </c>
      <c r="F376" s="8">
        <v>559</v>
      </c>
      <c r="G376" s="8">
        <v>8.6999999999999993</v>
      </c>
      <c r="H376" s="8">
        <v>3</v>
      </c>
      <c r="I376" s="8">
        <v>13</v>
      </c>
      <c r="J376" s="8">
        <v>54837120</v>
      </c>
      <c r="K376" s="8">
        <v>1</v>
      </c>
      <c r="L376" s="8">
        <v>1</v>
      </c>
      <c r="M376" s="8">
        <v>1</v>
      </c>
      <c r="N376" s="8">
        <v>9</v>
      </c>
      <c r="O376" s="8">
        <v>10</v>
      </c>
      <c r="P376" s="8"/>
      <c r="R376">
        <f t="shared" si="63"/>
        <v>1</v>
      </c>
      <c r="S376">
        <f t="shared" si="64"/>
        <v>0</v>
      </c>
      <c r="T376">
        <f t="shared" si="65"/>
        <v>0</v>
      </c>
      <c r="U376">
        <f t="shared" si="66"/>
        <v>41</v>
      </c>
      <c r="V376" t="str">
        <f t="shared" si="67"/>
        <v/>
      </c>
      <c r="W376" t="str">
        <f t="shared" si="68"/>
        <v/>
      </c>
      <c r="X376">
        <f t="shared" si="62"/>
        <v>1</v>
      </c>
    </row>
    <row r="377" spans="1:24" x14ac:dyDescent="0.25">
      <c r="A377" s="8">
        <v>32</v>
      </c>
      <c r="B377" s="8">
        <v>13</v>
      </c>
      <c r="C377" s="8">
        <v>100</v>
      </c>
      <c r="D377" s="8">
        <v>1</v>
      </c>
      <c r="E377" s="8">
        <v>21.5</v>
      </c>
      <c r="F377" s="8">
        <v>337</v>
      </c>
      <c r="G377" s="8">
        <v>7.9</v>
      </c>
      <c r="H377" s="8">
        <v>2</v>
      </c>
      <c r="I377" s="8">
        <v>11</v>
      </c>
      <c r="J377" s="8">
        <v>54837120</v>
      </c>
      <c r="K377" s="8">
        <v>2</v>
      </c>
      <c r="L377" s="8">
        <v>2</v>
      </c>
      <c r="M377" s="8">
        <v>1</v>
      </c>
      <c r="N377" s="8">
        <v>9</v>
      </c>
      <c r="O377" s="8">
        <v>10</v>
      </c>
      <c r="P377" s="8"/>
      <c r="R377">
        <f t="shared" si="63"/>
        <v>1</v>
      </c>
      <c r="S377">
        <f t="shared" si="64"/>
        <v>0</v>
      </c>
      <c r="T377">
        <f t="shared" si="65"/>
        <v>0</v>
      </c>
      <c r="U377">
        <f t="shared" si="66"/>
        <v>21.5</v>
      </c>
      <c r="V377" t="str">
        <f t="shared" si="67"/>
        <v/>
      </c>
      <c r="W377" t="str">
        <f t="shared" si="68"/>
        <v/>
      </c>
      <c r="X377">
        <f t="shared" si="62"/>
        <v>1</v>
      </c>
    </row>
    <row r="378" spans="1:24" x14ac:dyDescent="0.25">
      <c r="A378" s="8">
        <v>32</v>
      </c>
      <c r="B378" s="8">
        <v>14</v>
      </c>
      <c r="C378" s="8">
        <v>100</v>
      </c>
      <c r="D378" s="8">
        <v>1</v>
      </c>
      <c r="E378" s="8">
        <v>42.9</v>
      </c>
      <c r="F378" s="8">
        <v>1052</v>
      </c>
      <c r="G378" s="8">
        <v>10.3</v>
      </c>
      <c r="H378" s="8">
        <v>2</v>
      </c>
      <c r="I378" s="8">
        <v>15</v>
      </c>
      <c r="J378" s="8">
        <v>54837120</v>
      </c>
      <c r="K378" s="8">
        <v>1</v>
      </c>
      <c r="L378" s="8">
        <v>1</v>
      </c>
      <c r="M378" s="8">
        <v>1</v>
      </c>
      <c r="N378" s="8">
        <v>8</v>
      </c>
      <c r="O378" s="8">
        <v>10</v>
      </c>
      <c r="P378" s="8"/>
      <c r="R378">
        <f t="shared" si="63"/>
        <v>1</v>
      </c>
      <c r="S378">
        <f t="shared" si="64"/>
        <v>0</v>
      </c>
      <c r="T378">
        <f t="shared" si="65"/>
        <v>0</v>
      </c>
      <c r="U378">
        <f t="shared" si="66"/>
        <v>42.9</v>
      </c>
      <c r="V378" t="str">
        <f t="shared" si="67"/>
        <v/>
      </c>
      <c r="W378" t="str">
        <f t="shared" si="68"/>
        <v/>
      </c>
      <c r="X378">
        <f t="shared" si="62"/>
        <v>1</v>
      </c>
    </row>
    <row r="379" spans="1:24" x14ac:dyDescent="0.25">
      <c r="A379" s="8">
        <v>32</v>
      </c>
      <c r="B379" s="8">
        <v>15</v>
      </c>
      <c r="C379" s="8">
        <v>58</v>
      </c>
      <c r="D379" s="8">
        <v>1</v>
      </c>
      <c r="E379" s="8">
        <v>51.1</v>
      </c>
      <c r="F379" s="8">
        <v>3763</v>
      </c>
      <c r="G379" s="8">
        <v>11</v>
      </c>
      <c r="H379" s="8">
        <v>2</v>
      </c>
      <c r="I379" s="8">
        <v>16</v>
      </c>
      <c r="J379" s="8">
        <v>54837120</v>
      </c>
      <c r="K379" s="8">
        <v>1</v>
      </c>
      <c r="L379" s="8">
        <v>1</v>
      </c>
      <c r="M379" s="8">
        <v>1</v>
      </c>
      <c r="N379" s="8">
        <v>8</v>
      </c>
      <c r="O379" s="8">
        <v>10</v>
      </c>
      <c r="P379" s="8"/>
      <c r="R379">
        <f t="shared" si="63"/>
        <v>1</v>
      </c>
      <c r="S379">
        <f t="shared" si="64"/>
        <v>0</v>
      </c>
      <c r="T379">
        <f t="shared" si="65"/>
        <v>0</v>
      </c>
      <c r="U379">
        <f t="shared" si="66"/>
        <v>51.1</v>
      </c>
      <c r="V379" t="str">
        <f t="shared" si="67"/>
        <v/>
      </c>
      <c r="W379" t="str">
        <f t="shared" si="68"/>
        <v/>
      </c>
      <c r="X379">
        <f t="shared" si="62"/>
        <v>1</v>
      </c>
    </row>
    <row r="380" spans="1:24" x14ac:dyDescent="0.25">
      <c r="A380" s="8">
        <v>32</v>
      </c>
      <c r="B380" s="8">
        <v>16</v>
      </c>
      <c r="C380" s="8">
        <v>100</v>
      </c>
      <c r="D380" s="8">
        <v>1</v>
      </c>
      <c r="E380" s="8">
        <v>41.9</v>
      </c>
      <c r="F380" s="8">
        <v>2499</v>
      </c>
      <c r="G380" s="8">
        <v>10.3</v>
      </c>
      <c r="H380" s="8">
        <v>2</v>
      </c>
      <c r="I380" s="8">
        <v>13</v>
      </c>
      <c r="J380" s="8">
        <v>54837120</v>
      </c>
      <c r="K380" s="8">
        <v>1</v>
      </c>
      <c r="L380" s="8">
        <v>1</v>
      </c>
      <c r="M380" s="8">
        <v>1</v>
      </c>
      <c r="N380" s="8">
        <v>9</v>
      </c>
      <c r="O380" s="8">
        <v>10</v>
      </c>
      <c r="P380" s="8"/>
      <c r="R380">
        <f t="shared" si="63"/>
        <v>1</v>
      </c>
      <c r="S380">
        <f t="shared" si="64"/>
        <v>0</v>
      </c>
      <c r="T380">
        <f t="shared" si="65"/>
        <v>0</v>
      </c>
      <c r="U380">
        <f t="shared" si="66"/>
        <v>41.9</v>
      </c>
      <c r="V380" t="str">
        <f t="shared" si="67"/>
        <v/>
      </c>
      <c r="W380" t="str">
        <f t="shared" si="68"/>
        <v/>
      </c>
      <c r="X380">
        <f t="shared" si="62"/>
        <v>1</v>
      </c>
    </row>
    <row r="381" spans="1:24" x14ac:dyDescent="0.25">
      <c r="A381" s="8">
        <v>32</v>
      </c>
      <c r="B381" s="8">
        <v>17</v>
      </c>
      <c r="C381" s="8">
        <v>67</v>
      </c>
      <c r="D381" s="8">
        <v>1</v>
      </c>
      <c r="E381" s="8">
        <v>27.6</v>
      </c>
      <c r="F381" s="8">
        <v>2502</v>
      </c>
      <c r="G381" s="8">
        <v>7.2</v>
      </c>
      <c r="H381" s="8">
        <v>2</v>
      </c>
      <c r="I381" s="8">
        <v>10</v>
      </c>
      <c r="J381" s="8">
        <v>54837120</v>
      </c>
      <c r="K381" s="8">
        <v>1</v>
      </c>
      <c r="L381" s="8">
        <v>1</v>
      </c>
      <c r="M381" s="8">
        <v>1</v>
      </c>
      <c r="N381" s="8">
        <v>7</v>
      </c>
      <c r="O381" s="8">
        <v>9</v>
      </c>
      <c r="P381" s="8"/>
      <c r="R381">
        <f t="shared" si="63"/>
        <v>1</v>
      </c>
      <c r="S381">
        <f t="shared" si="64"/>
        <v>0</v>
      </c>
      <c r="T381">
        <f t="shared" si="65"/>
        <v>0</v>
      </c>
      <c r="U381">
        <f t="shared" si="66"/>
        <v>27.6</v>
      </c>
      <c r="V381" t="str">
        <f t="shared" si="67"/>
        <v/>
      </c>
      <c r="W381" t="str">
        <f t="shared" si="68"/>
        <v/>
      </c>
      <c r="X381">
        <f t="shared" si="62"/>
        <v>1</v>
      </c>
    </row>
    <row r="382" spans="1:24" x14ac:dyDescent="0.25">
      <c r="A382" s="8">
        <v>32</v>
      </c>
      <c r="B382" s="8">
        <v>18</v>
      </c>
      <c r="C382" s="8">
        <v>100</v>
      </c>
      <c r="D382" s="8">
        <v>1</v>
      </c>
      <c r="E382" s="8">
        <v>43.8</v>
      </c>
      <c r="F382" s="8">
        <v>357</v>
      </c>
      <c r="G382" s="8">
        <v>9.4</v>
      </c>
      <c r="H382" s="8">
        <v>2</v>
      </c>
      <c r="I382" s="8">
        <v>14</v>
      </c>
      <c r="J382" s="8">
        <v>54837120</v>
      </c>
      <c r="K382" s="8">
        <v>1</v>
      </c>
      <c r="L382" s="8">
        <v>1</v>
      </c>
      <c r="M382" s="8">
        <v>1</v>
      </c>
      <c r="N382" s="8">
        <v>10</v>
      </c>
      <c r="O382" s="8">
        <v>10</v>
      </c>
      <c r="P382" s="8"/>
      <c r="R382">
        <f t="shared" si="63"/>
        <v>1</v>
      </c>
      <c r="S382">
        <f t="shared" si="64"/>
        <v>0</v>
      </c>
      <c r="T382">
        <f t="shared" si="65"/>
        <v>0</v>
      </c>
      <c r="U382">
        <f t="shared" si="66"/>
        <v>43.8</v>
      </c>
      <c r="V382" t="str">
        <f t="shared" si="67"/>
        <v/>
      </c>
      <c r="W382" t="str">
        <f t="shared" si="68"/>
        <v/>
      </c>
      <c r="X382">
        <f t="shared" si="62"/>
        <v>1</v>
      </c>
    </row>
    <row r="383" spans="1:24" x14ac:dyDescent="0.25">
      <c r="A383" s="8">
        <v>32</v>
      </c>
      <c r="B383" s="8">
        <v>19</v>
      </c>
      <c r="C383" s="8">
        <v>91</v>
      </c>
      <c r="D383" s="8">
        <v>1</v>
      </c>
      <c r="E383" s="8">
        <v>26.7</v>
      </c>
      <c r="F383" s="8">
        <v>13637</v>
      </c>
      <c r="G383" s="8">
        <v>11.6</v>
      </c>
      <c r="H383" s="8">
        <v>3</v>
      </c>
      <c r="I383" s="8">
        <v>16</v>
      </c>
      <c r="J383" s="8">
        <v>54837120</v>
      </c>
      <c r="K383" s="8">
        <v>1</v>
      </c>
      <c r="L383" s="8">
        <v>1</v>
      </c>
      <c r="M383" s="8">
        <v>1</v>
      </c>
      <c r="N383" s="8">
        <v>8</v>
      </c>
      <c r="O383" s="8">
        <v>9</v>
      </c>
      <c r="P383" s="8"/>
      <c r="R383">
        <f t="shared" si="63"/>
        <v>1</v>
      </c>
      <c r="S383">
        <f t="shared" si="64"/>
        <v>0</v>
      </c>
      <c r="T383">
        <f t="shared" si="65"/>
        <v>0</v>
      </c>
      <c r="U383">
        <f t="shared" si="66"/>
        <v>26.7</v>
      </c>
      <c r="V383" t="str">
        <f t="shared" si="67"/>
        <v/>
      </c>
      <c r="W383" t="str">
        <f t="shared" si="68"/>
        <v/>
      </c>
      <c r="X383">
        <f t="shared" si="62"/>
        <v>1</v>
      </c>
    </row>
    <row r="384" spans="1:24" x14ac:dyDescent="0.25">
      <c r="A384" s="8">
        <v>32</v>
      </c>
      <c r="B384" s="8">
        <v>20</v>
      </c>
      <c r="C384" s="8">
        <v>100</v>
      </c>
      <c r="D384" s="8">
        <v>2</v>
      </c>
      <c r="E384" s="8">
        <v>63.2</v>
      </c>
      <c r="F384" s="8">
        <v>1185</v>
      </c>
      <c r="G384" s="8">
        <v>8.9</v>
      </c>
      <c r="H384" s="8">
        <v>2</v>
      </c>
      <c r="I384" s="8">
        <v>13</v>
      </c>
      <c r="J384" s="8">
        <v>109674240</v>
      </c>
      <c r="K384" s="8">
        <v>1</v>
      </c>
      <c r="L384" s="8">
        <v>1</v>
      </c>
      <c r="M384" s="8">
        <v>1</v>
      </c>
      <c r="N384" s="8">
        <v>8</v>
      </c>
      <c r="O384" s="8">
        <v>10</v>
      </c>
      <c r="P384" s="8"/>
      <c r="R384">
        <f t="shared" si="63"/>
        <v>0</v>
      </c>
      <c r="S384">
        <f t="shared" si="64"/>
        <v>1</v>
      </c>
      <c r="T384">
        <f t="shared" si="65"/>
        <v>0</v>
      </c>
      <c r="U384" t="str">
        <f t="shared" si="66"/>
        <v/>
      </c>
      <c r="V384">
        <f t="shared" si="67"/>
        <v>63.2</v>
      </c>
      <c r="W384" t="str">
        <f t="shared" si="68"/>
        <v/>
      </c>
      <c r="X384">
        <f t="shared" si="62"/>
        <v>1</v>
      </c>
    </row>
    <row r="385" spans="1:24" x14ac:dyDescent="0.25">
      <c r="A385" s="8">
        <v>32</v>
      </c>
      <c r="B385" s="8">
        <v>21</v>
      </c>
      <c r="C385" s="8">
        <v>100</v>
      </c>
      <c r="D385" s="8">
        <v>1</v>
      </c>
      <c r="E385" s="8">
        <v>32.700000000000003</v>
      </c>
      <c r="F385" s="8">
        <v>560</v>
      </c>
      <c r="G385" s="8">
        <v>7.8</v>
      </c>
      <c r="H385" s="8">
        <v>3</v>
      </c>
      <c r="I385" s="8">
        <v>10</v>
      </c>
      <c r="J385" s="8">
        <v>54837120</v>
      </c>
      <c r="K385" s="8">
        <v>1</v>
      </c>
      <c r="L385" s="8">
        <v>1</v>
      </c>
      <c r="M385" s="8">
        <v>1</v>
      </c>
      <c r="N385" s="8">
        <v>10</v>
      </c>
      <c r="O385" s="8">
        <v>10</v>
      </c>
      <c r="P385" s="8"/>
      <c r="R385">
        <f t="shared" si="63"/>
        <v>1</v>
      </c>
      <c r="S385">
        <f t="shared" si="64"/>
        <v>0</v>
      </c>
      <c r="T385">
        <f t="shared" si="65"/>
        <v>0</v>
      </c>
      <c r="U385">
        <f t="shared" si="66"/>
        <v>32.700000000000003</v>
      </c>
      <c r="V385" t="str">
        <f t="shared" si="67"/>
        <v/>
      </c>
      <c r="W385" t="str">
        <f t="shared" si="68"/>
        <v/>
      </c>
      <c r="X385">
        <f t="shared" si="62"/>
        <v>1</v>
      </c>
    </row>
    <row r="386" spans="1:24" x14ac:dyDescent="0.25">
      <c r="A386" s="8">
        <v>32</v>
      </c>
      <c r="B386" s="8">
        <v>22</v>
      </c>
      <c r="C386" s="8">
        <v>47</v>
      </c>
      <c r="D386" s="8">
        <v>1</v>
      </c>
      <c r="E386" s="8">
        <v>16.3</v>
      </c>
      <c r="F386" s="8">
        <v>313</v>
      </c>
      <c r="G386" s="8">
        <v>7.3</v>
      </c>
      <c r="H386" s="8">
        <v>2</v>
      </c>
      <c r="I386" s="8">
        <v>10</v>
      </c>
      <c r="J386" s="8">
        <v>54837120</v>
      </c>
      <c r="K386" s="8">
        <v>2</v>
      </c>
      <c r="L386" s="8">
        <v>2</v>
      </c>
      <c r="M386" s="8">
        <v>1</v>
      </c>
      <c r="N386" s="8">
        <v>6</v>
      </c>
      <c r="O386" s="8">
        <v>10</v>
      </c>
      <c r="P386" s="8"/>
      <c r="R386">
        <f t="shared" si="63"/>
        <v>1</v>
      </c>
      <c r="S386">
        <f t="shared" si="64"/>
        <v>0</v>
      </c>
      <c r="T386">
        <f t="shared" si="65"/>
        <v>0</v>
      </c>
      <c r="U386">
        <f t="shared" si="66"/>
        <v>16.3</v>
      </c>
      <c r="V386" t="str">
        <f t="shared" si="67"/>
        <v/>
      </c>
      <c r="W386" t="str">
        <f t="shared" si="68"/>
        <v/>
      </c>
      <c r="X386">
        <f t="shared" si="62"/>
        <v>1</v>
      </c>
    </row>
    <row r="387" spans="1:24" x14ac:dyDescent="0.25">
      <c r="A387" s="8">
        <v>32</v>
      </c>
      <c r="B387" s="8">
        <v>23</v>
      </c>
      <c r="C387" s="8">
        <v>100</v>
      </c>
      <c r="D387" s="8">
        <v>1</v>
      </c>
      <c r="E387" s="8">
        <v>51.1</v>
      </c>
      <c r="F387" s="8">
        <v>1317</v>
      </c>
      <c r="G387" s="8">
        <v>12.7</v>
      </c>
      <c r="H387" s="8">
        <v>2</v>
      </c>
      <c r="I387" s="8">
        <v>17</v>
      </c>
      <c r="J387" s="8">
        <v>54837120</v>
      </c>
      <c r="K387" s="8">
        <v>1</v>
      </c>
      <c r="L387" s="8">
        <v>1</v>
      </c>
      <c r="M387" s="8">
        <v>1</v>
      </c>
      <c r="N387" s="8">
        <v>10</v>
      </c>
      <c r="O387" s="8">
        <v>10</v>
      </c>
      <c r="P387" s="8"/>
      <c r="R387">
        <f t="shared" si="63"/>
        <v>1</v>
      </c>
      <c r="S387">
        <f t="shared" si="64"/>
        <v>0</v>
      </c>
      <c r="T387">
        <f t="shared" si="65"/>
        <v>0</v>
      </c>
      <c r="U387">
        <f t="shared" si="66"/>
        <v>51.1</v>
      </c>
      <c r="V387" t="str">
        <f t="shared" si="67"/>
        <v/>
      </c>
      <c r="W387" t="str">
        <f t="shared" si="68"/>
        <v/>
      </c>
      <c r="X387">
        <f t="shared" si="62"/>
        <v>1</v>
      </c>
    </row>
    <row r="388" spans="1:24" x14ac:dyDescent="0.25">
      <c r="A388" s="8">
        <v>32</v>
      </c>
      <c r="B388" s="8">
        <v>24</v>
      </c>
      <c r="C388" s="8">
        <v>96</v>
      </c>
      <c r="D388" s="8">
        <v>1</v>
      </c>
      <c r="E388" s="8">
        <v>58.5</v>
      </c>
      <c r="F388" s="8">
        <v>3651</v>
      </c>
      <c r="G388" s="8">
        <v>10</v>
      </c>
      <c r="H388" s="8">
        <v>3</v>
      </c>
      <c r="I388" s="8">
        <v>15</v>
      </c>
      <c r="J388" s="8">
        <v>54837120</v>
      </c>
      <c r="K388" s="8">
        <v>2</v>
      </c>
      <c r="L388" s="8">
        <v>2</v>
      </c>
      <c r="M388" s="8">
        <v>1</v>
      </c>
      <c r="N388" s="8">
        <v>8</v>
      </c>
      <c r="O388" s="8">
        <v>9</v>
      </c>
      <c r="P388" s="8"/>
      <c r="R388">
        <f t="shared" si="63"/>
        <v>1</v>
      </c>
      <c r="S388">
        <f t="shared" si="64"/>
        <v>0</v>
      </c>
      <c r="T388">
        <f t="shared" si="65"/>
        <v>0</v>
      </c>
      <c r="U388">
        <f t="shared" si="66"/>
        <v>58.5</v>
      </c>
      <c r="V388" t="str">
        <f t="shared" si="67"/>
        <v/>
      </c>
      <c r="W388" t="str">
        <f t="shared" si="68"/>
        <v/>
      </c>
      <c r="X388">
        <f t="shared" si="62"/>
        <v>1</v>
      </c>
    </row>
    <row r="389" spans="1:24" x14ac:dyDescent="0.25">
      <c r="A389" s="8">
        <v>32</v>
      </c>
      <c r="B389" s="8">
        <v>25</v>
      </c>
      <c r="C389" s="8">
        <v>40</v>
      </c>
      <c r="D389" s="8">
        <v>1</v>
      </c>
      <c r="E389" s="8">
        <v>19.399999999999999</v>
      </c>
      <c r="F389" s="8">
        <v>614</v>
      </c>
      <c r="G389" s="8">
        <v>7.8</v>
      </c>
      <c r="H389" s="8">
        <v>2</v>
      </c>
      <c r="I389" s="8">
        <v>11</v>
      </c>
      <c r="J389" s="8">
        <v>54837120</v>
      </c>
      <c r="K389" s="8">
        <v>1</v>
      </c>
      <c r="L389" s="8">
        <v>1</v>
      </c>
      <c r="M389" s="8">
        <v>1</v>
      </c>
      <c r="N389" s="8">
        <v>8</v>
      </c>
      <c r="O389" s="8">
        <v>10</v>
      </c>
      <c r="P389" s="8"/>
      <c r="R389">
        <f t="shared" si="63"/>
        <v>1</v>
      </c>
      <c r="S389">
        <f t="shared" si="64"/>
        <v>0</v>
      </c>
      <c r="T389">
        <f t="shared" si="65"/>
        <v>0</v>
      </c>
      <c r="U389">
        <f t="shared" si="66"/>
        <v>19.399999999999999</v>
      </c>
      <c r="V389" t="str">
        <f t="shared" si="67"/>
        <v/>
      </c>
      <c r="W389" t="str">
        <f t="shared" si="68"/>
        <v/>
      </c>
      <c r="X389">
        <f t="shared" ref="X389:X452" si="69">IF(M389&gt;0,1,0)</f>
        <v>1</v>
      </c>
    </row>
    <row r="390" spans="1:24" x14ac:dyDescent="0.25">
      <c r="A390" s="8">
        <v>32</v>
      </c>
      <c r="B390" s="8">
        <v>26</v>
      </c>
      <c r="C390" s="8">
        <v>100</v>
      </c>
      <c r="D390" s="8">
        <v>1</v>
      </c>
      <c r="E390" s="8">
        <v>30.7</v>
      </c>
      <c r="F390" s="8">
        <v>216</v>
      </c>
      <c r="G390" s="8">
        <v>6.2</v>
      </c>
      <c r="H390" s="8">
        <v>2</v>
      </c>
      <c r="I390" s="8">
        <v>9</v>
      </c>
      <c r="J390" s="8">
        <v>54837120</v>
      </c>
      <c r="K390" s="8">
        <v>2</v>
      </c>
      <c r="L390" s="8">
        <v>2</v>
      </c>
      <c r="M390" s="8">
        <v>1</v>
      </c>
      <c r="N390" s="8">
        <v>10</v>
      </c>
      <c r="O390" s="8">
        <v>10</v>
      </c>
      <c r="P390" s="8"/>
      <c r="R390">
        <f t="shared" si="63"/>
        <v>1</v>
      </c>
      <c r="S390">
        <f t="shared" si="64"/>
        <v>0</v>
      </c>
      <c r="T390">
        <f t="shared" si="65"/>
        <v>0</v>
      </c>
      <c r="U390">
        <f t="shared" si="66"/>
        <v>30.7</v>
      </c>
      <c r="V390" t="str">
        <f t="shared" si="67"/>
        <v/>
      </c>
      <c r="W390" t="str">
        <f t="shared" si="68"/>
        <v/>
      </c>
      <c r="X390">
        <f t="shared" si="69"/>
        <v>1</v>
      </c>
    </row>
    <row r="391" spans="1:24" x14ac:dyDescent="0.25">
      <c r="A391" s="8">
        <v>32</v>
      </c>
      <c r="B391" s="8">
        <v>27</v>
      </c>
      <c r="C391" s="8">
        <v>100</v>
      </c>
      <c r="D391" s="8">
        <v>1</v>
      </c>
      <c r="E391" s="8">
        <v>18.399999999999999</v>
      </c>
      <c r="F391" s="8">
        <v>151</v>
      </c>
      <c r="G391" s="8">
        <v>7.9</v>
      </c>
      <c r="H391" s="8">
        <v>2</v>
      </c>
      <c r="I391" s="8">
        <v>12</v>
      </c>
      <c r="J391" s="8">
        <v>54837120</v>
      </c>
      <c r="K391" s="8">
        <v>1</v>
      </c>
      <c r="L391" s="8">
        <v>1</v>
      </c>
      <c r="M391" s="8">
        <v>1</v>
      </c>
      <c r="N391" s="8">
        <v>9</v>
      </c>
      <c r="O391" s="8">
        <v>10</v>
      </c>
      <c r="P391" s="8"/>
      <c r="R391">
        <f t="shared" si="63"/>
        <v>1</v>
      </c>
      <c r="S391">
        <f t="shared" si="64"/>
        <v>0</v>
      </c>
      <c r="T391">
        <f t="shared" si="65"/>
        <v>0</v>
      </c>
      <c r="U391">
        <f t="shared" si="66"/>
        <v>18.399999999999999</v>
      </c>
      <c r="V391" t="str">
        <f t="shared" si="67"/>
        <v/>
      </c>
      <c r="W391" t="str">
        <f t="shared" si="68"/>
        <v/>
      </c>
      <c r="X391">
        <f t="shared" si="69"/>
        <v>1</v>
      </c>
    </row>
    <row r="392" spans="1:24" x14ac:dyDescent="0.25">
      <c r="A392" s="8">
        <v>32</v>
      </c>
      <c r="B392" s="8">
        <v>28</v>
      </c>
      <c r="C392" s="8">
        <v>91</v>
      </c>
      <c r="D392" s="8">
        <v>1</v>
      </c>
      <c r="E392" s="8">
        <v>29.6</v>
      </c>
      <c r="F392" s="8">
        <v>976</v>
      </c>
      <c r="G392" s="8">
        <v>9.1999999999999993</v>
      </c>
      <c r="H392" s="8">
        <v>2</v>
      </c>
      <c r="I392" s="8">
        <v>13</v>
      </c>
      <c r="J392" s="8">
        <v>54837120</v>
      </c>
      <c r="K392" s="8">
        <v>1</v>
      </c>
      <c r="L392" s="8">
        <v>1</v>
      </c>
      <c r="M392" s="8">
        <v>1</v>
      </c>
      <c r="N392" s="8">
        <v>8</v>
      </c>
      <c r="O392" s="8">
        <v>9</v>
      </c>
      <c r="P392" s="8"/>
      <c r="R392">
        <f t="shared" si="63"/>
        <v>1</v>
      </c>
      <c r="S392">
        <f t="shared" si="64"/>
        <v>0</v>
      </c>
      <c r="T392">
        <f t="shared" si="65"/>
        <v>0</v>
      </c>
      <c r="U392">
        <f t="shared" si="66"/>
        <v>29.6</v>
      </c>
      <c r="V392" t="str">
        <f t="shared" si="67"/>
        <v/>
      </c>
      <c r="W392" t="str">
        <f t="shared" si="68"/>
        <v/>
      </c>
      <c r="X392">
        <f t="shared" si="69"/>
        <v>1</v>
      </c>
    </row>
    <row r="393" spans="1:24" x14ac:dyDescent="0.25">
      <c r="A393" s="8">
        <v>32</v>
      </c>
      <c r="B393" s="8">
        <v>29</v>
      </c>
      <c r="C393" s="8">
        <v>100</v>
      </c>
      <c r="D393" s="8">
        <v>1</v>
      </c>
      <c r="E393" s="8">
        <v>40</v>
      </c>
      <c r="F393" s="8">
        <v>637</v>
      </c>
      <c r="G393" s="8">
        <v>9.1999999999999993</v>
      </c>
      <c r="H393" s="8">
        <v>2</v>
      </c>
      <c r="I393" s="8">
        <v>13</v>
      </c>
      <c r="J393" s="8">
        <v>54837120</v>
      </c>
      <c r="K393" s="8">
        <v>2</v>
      </c>
      <c r="L393" s="8">
        <v>2</v>
      </c>
      <c r="M393" s="8">
        <v>1</v>
      </c>
      <c r="N393" s="8">
        <v>7</v>
      </c>
      <c r="O393" s="8">
        <v>10</v>
      </c>
      <c r="P393" s="8"/>
      <c r="R393">
        <f t="shared" si="63"/>
        <v>1</v>
      </c>
      <c r="S393">
        <f t="shared" si="64"/>
        <v>0</v>
      </c>
      <c r="T393">
        <f t="shared" si="65"/>
        <v>0</v>
      </c>
      <c r="U393">
        <f t="shared" si="66"/>
        <v>40</v>
      </c>
      <c r="V393" t="str">
        <f t="shared" si="67"/>
        <v/>
      </c>
      <c r="W393" t="str">
        <f t="shared" si="68"/>
        <v/>
      </c>
      <c r="X393">
        <f t="shared" si="69"/>
        <v>1</v>
      </c>
    </row>
    <row r="394" spans="1:24" x14ac:dyDescent="0.25">
      <c r="A394" s="8">
        <v>33</v>
      </c>
      <c r="B394" s="8">
        <v>0</v>
      </c>
      <c r="C394" s="8">
        <v>34</v>
      </c>
      <c r="D394" s="8">
        <v>1</v>
      </c>
      <c r="E394" s="8">
        <v>52.3</v>
      </c>
      <c r="F394" s="8">
        <v>2295</v>
      </c>
      <c r="G394" s="8">
        <v>12.9</v>
      </c>
      <c r="H394" s="8">
        <v>2</v>
      </c>
      <c r="I394" s="8">
        <v>17</v>
      </c>
      <c r="J394" s="8">
        <v>54837120</v>
      </c>
      <c r="K394" s="8">
        <v>2</v>
      </c>
      <c r="L394" s="8">
        <v>2</v>
      </c>
      <c r="M394" s="8">
        <v>1</v>
      </c>
      <c r="N394" s="8">
        <v>9</v>
      </c>
      <c r="O394" s="8">
        <v>10</v>
      </c>
      <c r="P394" s="8"/>
      <c r="R394">
        <f t="shared" si="63"/>
        <v>1</v>
      </c>
      <c r="S394">
        <f t="shared" si="64"/>
        <v>0</v>
      </c>
      <c r="T394">
        <f t="shared" si="65"/>
        <v>0</v>
      </c>
      <c r="U394">
        <f t="shared" si="66"/>
        <v>52.3</v>
      </c>
      <c r="V394" t="str">
        <f t="shared" si="67"/>
        <v/>
      </c>
      <c r="W394" t="str">
        <f t="shared" si="68"/>
        <v/>
      </c>
      <c r="X394">
        <f t="shared" si="69"/>
        <v>1</v>
      </c>
    </row>
    <row r="395" spans="1:24" x14ac:dyDescent="0.25">
      <c r="A395" s="8">
        <v>33</v>
      </c>
      <c r="B395" s="8">
        <v>1</v>
      </c>
      <c r="C395" s="8">
        <v>100</v>
      </c>
      <c r="D395" s="8">
        <v>1</v>
      </c>
      <c r="E395" s="8">
        <v>32.6</v>
      </c>
      <c r="F395" s="8">
        <v>509</v>
      </c>
      <c r="G395" s="8">
        <v>8.4</v>
      </c>
      <c r="H395" s="8">
        <v>3</v>
      </c>
      <c r="I395" s="8">
        <v>12</v>
      </c>
      <c r="J395" s="8">
        <v>54837120</v>
      </c>
      <c r="K395" s="8">
        <v>3</v>
      </c>
      <c r="L395" s="8">
        <v>3</v>
      </c>
      <c r="M395" s="8">
        <v>1</v>
      </c>
      <c r="N395" s="8">
        <v>9</v>
      </c>
      <c r="O395" s="8">
        <v>10</v>
      </c>
      <c r="P395" s="8"/>
      <c r="R395">
        <f t="shared" si="63"/>
        <v>1</v>
      </c>
      <c r="S395">
        <f t="shared" si="64"/>
        <v>0</v>
      </c>
      <c r="T395">
        <f t="shared" si="65"/>
        <v>0</v>
      </c>
      <c r="U395">
        <f t="shared" si="66"/>
        <v>32.6</v>
      </c>
      <c r="V395" t="str">
        <f t="shared" si="67"/>
        <v/>
      </c>
      <c r="W395" t="str">
        <f t="shared" si="68"/>
        <v/>
      </c>
      <c r="X395">
        <f t="shared" si="69"/>
        <v>1</v>
      </c>
    </row>
    <row r="396" spans="1:24" x14ac:dyDescent="0.25">
      <c r="A396" s="8">
        <v>33</v>
      </c>
      <c r="B396" s="8">
        <v>2</v>
      </c>
      <c r="C396" s="8">
        <v>100</v>
      </c>
      <c r="D396" s="8">
        <v>1</v>
      </c>
      <c r="E396" s="8">
        <v>22.5</v>
      </c>
      <c r="F396" s="8">
        <v>1435</v>
      </c>
      <c r="G396" s="8">
        <v>11.1</v>
      </c>
      <c r="H396" s="8">
        <v>2</v>
      </c>
      <c r="I396" s="8">
        <v>16</v>
      </c>
      <c r="J396" s="8">
        <v>54837120</v>
      </c>
      <c r="K396" s="8">
        <v>1</v>
      </c>
      <c r="L396" s="8">
        <v>1</v>
      </c>
      <c r="M396" s="8">
        <v>1</v>
      </c>
      <c r="N396" s="8">
        <v>9</v>
      </c>
      <c r="O396" s="8">
        <v>10</v>
      </c>
      <c r="P396" s="8"/>
      <c r="R396">
        <f t="shared" si="63"/>
        <v>1</v>
      </c>
      <c r="S396">
        <f t="shared" si="64"/>
        <v>0</v>
      </c>
      <c r="T396">
        <f t="shared" si="65"/>
        <v>0</v>
      </c>
      <c r="U396">
        <f t="shared" si="66"/>
        <v>22.5</v>
      </c>
      <c r="V396" t="str">
        <f t="shared" si="67"/>
        <v/>
      </c>
      <c r="W396" t="str">
        <f t="shared" si="68"/>
        <v/>
      </c>
      <c r="X396">
        <f t="shared" si="69"/>
        <v>1</v>
      </c>
    </row>
    <row r="397" spans="1:24" x14ac:dyDescent="0.25">
      <c r="A397" s="8">
        <v>33</v>
      </c>
      <c r="B397" s="8">
        <v>3</v>
      </c>
      <c r="C397" s="8">
        <v>100</v>
      </c>
      <c r="D397" s="8">
        <v>1</v>
      </c>
      <c r="E397" s="8">
        <v>40</v>
      </c>
      <c r="F397" s="8">
        <v>3506</v>
      </c>
      <c r="G397" s="8">
        <v>11.4</v>
      </c>
      <c r="H397" s="8">
        <v>3</v>
      </c>
      <c r="I397" s="8">
        <v>18</v>
      </c>
      <c r="J397" s="8">
        <v>54837120</v>
      </c>
      <c r="K397" s="8">
        <v>2</v>
      </c>
      <c r="L397" s="8">
        <v>2</v>
      </c>
      <c r="M397" s="8">
        <v>1</v>
      </c>
      <c r="N397" s="8">
        <v>8</v>
      </c>
      <c r="O397" s="8">
        <v>10</v>
      </c>
      <c r="P397" s="8"/>
      <c r="R397">
        <f t="shared" si="63"/>
        <v>1</v>
      </c>
      <c r="S397">
        <f t="shared" si="64"/>
        <v>0</v>
      </c>
      <c r="T397">
        <f t="shared" si="65"/>
        <v>0</v>
      </c>
      <c r="U397">
        <f t="shared" si="66"/>
        <v>40</v>
      </c>
      <c r="V397" t="str">
        <f t="shared" si="67"/>
        <v/>
      </c>
      <c r="W397" t="str">
        <f t="shared" si="68"/>
        <v/>
      </c>
      <c r="X397">
        <f t="shared" si="69"/>
        <v>1</v>
      </c>
    </row>
    <row r="398" spans="1:24" x14ac:dyDescent="0.25">
      <c r="A398" s="8">
        <v>33</v>
      </c>
      <c r="B398" s="8">
        <v>4</v>
      </c>
      <c r="C398" s="8">
        <v>58</v>
      </c>
      <c r="D398" s="8">
        <v>1</v>
      </c>
      <c r="E398" s="8">
        <v>29.6</v>
      </c>
      <c r="F398" s="8">
        <v>705</v>
      </c>
      <c r="G398" s="8">
        <v>8.4</v>
      </c>
      <c r="H398" s="8">
        <v>2</v>
      </c>
      <c r="I398" s="8">
        <v>11</v>
      </c>
      <c r="J398" s="8">
        <v>54837120</v>
      </c>
      <c r="K398" s="8">
        <v>1</v>
      </c>
      <c r="L398" s="8">
        <v>1</v>
      </c>
      <c r="M398" s="8">
        <v>1</v>
      </c>
      <c r="N398" s="8">
        <v>9</v>
      </c>
      <c r="O398" s="8">
        <v>10</v>
      </c>
      <c r="P398" s="8"/>
      <c r="R398">
        <f t="shared" si="63"/>
        <v>1</v>
      </c>
      <c r="S398">
        <f t="shared" si="64"/>
        <v>0</v>
      </c>
      <c r="T398">
        <f t="shared" si="65"/>
        <v>0</v>
      </c>
      <c r="U398">
        <f t="shared" si="66"/>
        <v>29.6</v>
      </c>
      <c r="V398" t="str">
        <f t="shared" si="67"/>
        <v/>
      </c>
      <c r="W398" t="str">
        <f t="shared" si="68"/>
        <v/>
      </c>
      <c r="X398">
        <f t="shared" si="69"/>
        <v>1</v>
      </c>
    </row>
    <row r="399" spans="1:24" x14ac:dyDescent="0.25">
      <c r="A399" s="8">
        <v>33</v>
      </c>
      <c r="B399" s="8">
        <v>5</v>
      </c>
      <c r="C399" s="8">
        <v>97</v>
      </c>
      <c r="D399" s="8">
        <v>1</v>
      </c>
      <c r="E399" s="8">
        <v>28.7</v>
      </c>
      <c r="F399" s="8">
        <v>835</v>
      </c>
      <c r="G399" s="8">
        <v>7.9</v>
      </c>
      <c r="H399" s="8">
        <v>2</v>
      </c>
      <c r="I399" s="8">
        <v>11</v>
      </c>
      <c r="J399" s="8">
        <v>54837120</v>
      </c>
      <c r="K399" s="8">
        <v>3</v>
      </c>
      <c r="L399" s="8">
        <v>3</v>
      </c>
      <c r="M399" s="8">
        <v>1</v>
      </c>
      <c r="N399" s="8">
        <v>8</v>
      </c>
      <c r="O399" s="8">
        <v>10</v>
      </c>
      <c r="P399" s="8"/>
      <c r="R399">
        <f t="shared" si="63"/>
        <v>1</v>
      </c>
      <c r="S399">
        <f t="shared" si="64"/>
        <v>0</v>
      </c>
      <c r="T399">
        <f t="shared" si="65"/>
        <v>0</v>
      </c>
      <c r="U399">
        <f t="shared" si="66"/>
        <v>28.7</v>
      </c>
      <c r="V399" t="str">
        <f t="shared" si="67"/>
        <v/>
      </c>
      <c r="W399" t="str">
        <f t="shared" si="68"/>
        <v/>
      </c>
      <c r="X399">
        <f t="shared" si="69"/>
        <v>1</v>
      </c>
    </row>
    <row r="400" spans="1:24" x14ac:dyDescent="0.25">
      <c r="A400" s="8">
        <v>33</v>
      </c>
      <c r="B400" s="8">
        <v>6</v>
      </c>
      <c r="C400" s="8">
        <v>49</v>
      </c>
      <c r="D400" s="8">
        <v>1</v>
      </c>
      <c r="E400" s="8">
        <v>19.3</v>
      </c>
      <c r="F400" s="8">
        <v>359</v>
      </c>
      <c r="G400" s="8">
        <v>9</v>
      </c>
      <c r="H400" s="8">
        <v>2</v>
      </c>
      <c r="I400" s="8">
        <v>12</v>
      </c>
      <c r="J400" s="8">
        <v>54837120</v>
      </c>
      <c r="K400" s="8">
        <v>1</v>
      </c>
      <c r="L400" s="8">
        <v>1</v>
      </c>
      <c r="M400" s="8">
        <v>1</v>
      </c>
      <c r="N400" s="8">
        <v>9</v>
      </c>
      <c r="O400" s="8">
        <v>10</v>
      </c>
      <c r="P400" s="8"/>
      <c r="R400">
        <f t="shared" si="63"/>
        <v>1</v>
      </c>
      <c r="S400">
        <f t="shared" si="64"/>
        <v>0</v>
      </c>
      <c r="T400">
        <f t="shared" si="65"/>
        <v>0</v>
      </c>
      <c r="U400">
        <f t="shared" si="66"/>
        <v>19.3</v>
      </c>
      <c r="V400" t="str">
        <f t="shared" si="67"/>
        <v/>
      </c>
      <c r="W400" t="str">
        <f t="shared" si="68"/>
        <v/>
      </c>
      <c r="X400">
        <f t="shared" si="69"/>
        <v>1</v>
      </c>
    </row>
    <row r="401" spans="1:24" x14ac:dyDescent="0.25">
      <c r="A401" s="8">
        <v>33</v>
      </c>
      <c r="B401" s="8">
        <v>7</v>
      </c>
      <c r="C401" s="8">
        <v>100</v>
      </c>
      <c r="D401" s="8">
        <v>1</v>
      </c>
      <c r="E401" s="8">
        <v>18.399999999999999</v>
      </c>
      <c r="F401" s="8">
        <v>2814</v>
      </c>
      <c r="G401" s="8">
        <v>10</v>
      </c>
      <c r="H401" s="8">
        <v>2</v>
      </c>
      <c r="I401" s="8">
        <v>14</v>
      </c>
      <c r="J401" s="8">
        <v>54837120</v>
      </c>
      <c r="K401" s="8">
        <v>3</v>
      </c>
      <c r="L401" s="8">
        <v>3</v>
      </c>
      <c r="M401" s="8">
        <v>1</v>
      </c>
      <c r="N401" s="8">
        <v>8</v>
      </c>
      <c r="O401" s="8">
        <v>10</v>
      </c>
      <c r="P401" s="8"/>
      <c r="R401">
        <f t="shared" si="63"/>
        <v>1</v>
      </c>
      <c r="S401">
        <f t="shared" si="64"/>
        <v>0</v>
      </c>
      <c r="T401">
        <f t="shared" si="65"/>
        <v>0</v>
      </c>
      <c r="U401">
        <f t="shared" si="66"/>
        <v>18.399999999999999</v>
      </c>
      <c r="V401" t="str">
        <f t="shared" si="67"/>
        <v/>
      </c>
      <c r="W401" t="str">
        <f t="shared" si="68"/>
        <v/>
      </c>
      <c r="X401">
        <f t="shared" si="69"/>
        <v>1</v>
      </c>
    </row>
    <row r="402" spans="1:24" x14ac:dyDescent="0.25">
      <c r="A402" s="8">
        <v>33</v>
      </c>
      <c r="B402" s="8">
        <v>8</v>
      </c>
      <c r="C402" s="8">
        <v>100</v>
      </c>
      <c r="D402" s="8">
        <v>1</v>
      </c>
      <c r="E402" s="8">
        <v>45.1</v>
      </c>
      <c r="F402" s="8">
        <v>15174</v>
      </c>
      <c r="G402" s="8">
        <v>10.3</v>
      </c>
      <c r="H402" s="8">
        <v>2</v>
      </c>
      <c r="I402" s="8">
        <v>14</v>
      </c>
      <c r="J402" s="8">
        <v>54837120</v>
      </c>
      <c r="K402" s="8">
        <v>1</v>
      </c>
      <c r="L402" s="8">
        <v>1</v>
      </c>
      <c r="M402" s="8">
        <v>1</v>
      </c>
      <c r="N402" s="8">
        <v>9</v>
      </c>
      <c r="O402" s="8">
        <v>10</v>
      </c>
      <c r="P402" s="8"/>
      <c r="R402">
        <f t="shared" si="63"/>
        <v>1</v>
      </c>
      <c r="S402">
        <f t="shared" si="64"/>
        <v>0</v>
      </c>
      <c r="T402">
        <f t="shared" si="65"/>
        <v>0</v>
      </c>
      <c r="U402">
        <f t="shared" si="66"/>
        <v>45.1</v>
      </c>
      <c r="V402" t="str">
        <f t="shared" si="67"/>
        <v/>
      </c>
      <c r="W402" t="str">
        <f t="shared" si="68"/>
        <v/>
      </c>
      <c r="X402">
        <f t="shared" si="69"/>
        <v>1</v>
      </c>
    </row>
    <row r="403" spans="1:24" x14ac:dyDescent="0.25">
      <c r="A403" s="8">
        <v>33</v>
      </c>
      <c r="B403" s="8">
        <v>9</v>
      </c>
      <c r="C403" s="8">
        <v>100</v>
      </c>
      <c r="D403" s="8">
        <v>1</v>
      </c>
      <c r="E403" s="8">
        <v>68.599999999999994</v>
      </c>
      <c r="F403" s="8">
        <v>2885</v>
      </c>
      <c r="G403" s="8">
        <v>10.4</v>
      </c>
      <c r="H403" s="8">
        <v>2</v>
      </c>
      <c r="I403" s="8">
        <v>15</v>
      </c>
      <c r="J403" s="8">
        <v>54837120</v>
      </c>
      <c r="K403" s="8">
        <v>2</v>
      </c>
      <c r="L403" s="8">
        <v>2</v>
      </c>
      <c r="M403" s="8">
        <v>1</v>
      </c>
      <c r="N403" s="8">
        <v>8</v>
      </c>
      <c r="O403" s="8">
        <v>10</v>
      </c>
      <c r="P403" s="8"/>
      <c r="R403">
        <f t="shared" si="63"/>
        <v>1</v>
      </c>
      <c r="S403">
        <f t="shared" si="64"/>
        <v>0</v>
      </c>
      <c r="T403">
        <f t="shared" si="65"/>
        <v>0</v>
      </c>
      <c r="U403">
        <f t="shared" si="66"/>
        <v>68.599999999999994</v>
      </c>
      <c r="V403" t="str">
        <f t="shared" si="67"/>
        <v/>
      </c>
      <c r="W403" t="str">
        <f t="shared" si="68"/>
        <v/>
      </c>
      <c r="X403">
        <f t="shared" si="69"/>
        <v>1</v>
      </c>
    </row>
    <row r="404" spans="1:24" x14ac:dyDescent="0.25">
      <c r="A404" s="8">
        <v>33</v>
      </c>
      <c r="B404" s="8">
        <v>10</v>
      </c>
      <c r="C404" s="8">
        <v>76</v>
      </c>
      <c r="D404" s="8">
        <v>1</v>
      </c>
      <c r="E404" s="8">
        <v>46.9</v>
      </c>
      <c r="F404" s="8">
        <v>7393</v>
      </c>
      <c r="G404" s="8">
        <v>11.6</v>
      </c>
      <c r="H404" s="8">
        <v>2</v>
      </c>
      <c r="I404" s="8">
        <v>17</v>
      </c>
      <c r="J404" s="8">
        <v>54837120</v>
      </c>
      <c r="K404" s="8">
        <v>1</v>
      </c>
      <c r="L404" s="8">
        <v>1</v>
      </c>
      <c r="M404" s="8">
        <v>1</v>
      </c>
      <c r="N404" s="8">
        <v>10</v>
      </c>
      <c r="O404" s="8">
        <v>10</v>
      </c>
      <c r="P404" s="8"/>
      <c r="R404">
        <f t="shared" si="63"/>
        <v>1</v>
      </c>
      <c r="S404">
        <f t="shared" si="64"/>
        <v>0</v>
      </c>
      <c r="T404">
        <f t="shared" si="65"/>
        <v>0</v>
      </c>
      <c r="U404">
        <f t="shared" si="66"/>
        <v>46.9</v>
      </c>
      <c r="V404" t="str">
        <f t="shared" si="67"/>
        <v/>
      </c>
      <c r="W404" t="str">
        <f t="shared" si="68"/>
        <v/>
      </c>
      <c r="X404">
        <f t="shared" si="69"/>
        <v>1</v>
      </c>
    </row>
    <row r="405" spans="1:24" x14ac:dyDescent="0.25">
      <c r="A405" s="8">
        <v>33</v>
      </c>
      <c r="B405" s="8">
        <v>11</v>
      </c>
      <c r="C405" s="8">
        <v>100</v>
      </c>
      <c r="D405" s="8">
        <v>2</v>
      </c>
      <c r="E405" s="8">
        <v>45.9</v>
      </c>
      <c r="F405" s="8">
        <v>139</v>
      </c>
      <c r="G405" s="8">
        <v>5.4</v>
      </c>
      <c r="H405" s="8">
        <v>2</v>
      </c>
      <c r="I405" s="8">
        <v>8</v>
      </c>
      <c r="J405" s="8">
        <v>109674240</v>
      </c>
      <c r="K405" s="8">
        <v>1</v>
      </c>
      <c r="L405" s="8">
        <v>1</v>
      </c>
      <c r="M405" s="8">
        <v>1</v>
      </c>
      <c r="N405" s="8">
        <v>9</v>
      </c>
      <c r="O405" s="8">
        <v>10</v>
      </c>
      <c r="P405" s="8"/>
      <c r="R405">
        <f t="shared" si="63"/>
        <v>0</v>
      </c>
      <c r="S405">
        <f t="shared" si="64"/>
        <v>1</v>
      </c>
      <c r="T405">
        <f t="shared" si="65"/>
        <v>0</v>
      </c>
      <c r="U405" t="str">
        <f t="shared" si="66"/>
        <v/>
      </c>
      <c r="V405">
        <f t="shared" si="67"/>
        <v>45.9</v>
      </c>
      <c r="W405" t="str">
        <f t="shared" si="68"/>
        <v/>
      </c>
      <c r="X405">
        <f t="shared" si="69"/>
        <v>1</v>
      </c>
    </row>
    <row r="406" spans="1:24" x14ac:dyDescent="0.25">
      <c r="A406" s="8">
        <v>33</v>
      </c>
      <c r="B406" s="8">
        <v>12</v>
      </c>
      <c r="C406" s="8">
        <v>65</v>
      </c>
      <c r="D406" s="8">
        <v>1</v>
      </c>
      <c r="E406" s="8">
        <v>14.3</v>
      </c>
      <c r="F406" s="8">
        <v>3121</v>
      </c>
      <c r="G406" s="8">
        <v>8.9</v>
      </c>
      <c r="H406" s="8">
        <v>2</v>
      </c>
      <c r="I406" s="8">
        <v>12</v>
      </c>
      <c r="J406" s="8">
        <v>54837120</v>
      </c>
      <c r="K406" s="8">
        <v>1</v>
      </c>
      <c r="L406" s="8">
        <v>1</v>
      </c>
      <c r="M406" s="8">
        <v>1</v>
      </c>
      <c r="N406" s="8">
        <v>7</v>
      </c>
      <c r="O406" s="8">
        <v>10</v>
      </c>
      <c r="P406" s="8"/>
      <c r="R406">
        <f t="shared" si="63"/>
        <v>1</v>
      </c>
      <c r="S406">
        <f t="shared" si="64"/>
        <v>0</v>
      </c>
      <c r="T406">
        <f t="shared" si="65"/>
        <v>0</v>
      </c>
      <c r="U406">
        <f t="shared" si="66"/>
        <v>14.3</v>
      </c>
      <c r="V406" t="str">
        <f t="shared" si="67"/>
        <v/>
      </c>
      <c r="W406" t="str">
        <f t="shared" si="68"/>
        <v/>
      </c>
      <c r="X406">
        <f t="shared" si="69"/>
        <v>1</v>
      </c>
    </row>
    <row r="407" spans="1:24" x14ac:dyDescent="0.25">
      <c r="A407" s="8">
        <v>33</v>
      </c>
      <c r="B407" s="8">
        <v>13</v>
      </c>
      <c r="C407" s="8">
        <v>100</v>
      </c>
      <c r="D407" s="8">
        <v>3</v>
      </c>
      <c r="E407" s="8">
        <v>1150.4000000000001</v>
      </c>
      <c r="F407" s="8">
        <v>2156</v>
      </c>
      <c r="G407" s="8">
        <v>9</v>
      </c>
      <c r="H407" s="8">
        <v>2</v>
      </c>
      <c r="I407" s="8">
        <v>14</v>
      </c>
      <c r="J407" s="8">
        <v>1535439360</v>
      </c>
      <c r="K407" s="8">
        <v>1</v>
      </c>
      <c r="L407" s="8">
        <v>1</v>
      </c>
      <c r="M407" s="8">
        <v>1</v>
      </c>
      <c r="N407" s="8">
        <v>9</v>
      </c>
      <c r="O407" s="8">
        <v>10</v>
      </c>
      <c r="P407" s="8"/>
      <c r="R407">
        <f t="shared" si="63"/>
        <v>0</v>
      </c>
      <c r="S407">
        <f t="shared" si="64"/>
        <v>0</v>
      </c>
      <c r="T407">
        <f t="shared" si="65"/>
        <v>1</v>
      </c>
      <c r="U407" t="str">
        <f t="shared" si="66"/>
        <v/>
      </c>
      <c r="V407" t="str">
        <f t="shared" si="67"/>
        <v/>
      </c>
      <c r="W407">
        <f t="shared" si="68"/>
        <v>1150.4000000000001</v>
      </c>
      <c r="X407">
        <f t="shared" si="69"/>
        <v>1</v>
      </c>
    </row>
    <row r="408" spans="1:24" x14ac:dyDescent="0.25">
      <c r="A408" s="8">
        <v>33</v>
      </c>
      <c r="B408" s="8">
        <v>14</v>
      </c>
      <c r="C408" s="8">
        <v>100</v>
      </c>
      <c r="D408" s="8">
        <v>1</v>
      </c>
      <c r="E408" s="8">
        <v>58.4</v>
      </c>
      <c r="F408" s="8">
        <v>4950</v>
      </c>
      <c r="G408" s="8">
        <v>11.4</v>
      </c>
      <c r="H408" s="8">
        <v>3</v>
      </c>
      <c r="I408" s="8">
        <v>17</v>
      </c>
      <c r="J408" s="8">
        <v>54837120</v>
      </c>
      <c r="K408" s="8">
        <v>1</v>
      </c>
      <c r="L408" s="8">
        <v>1</v>
      </c>
      <c r="M408" s="8">
        <v>1</v>
      </c>
      <c r="N408" s="8">
        <v>10</v>
      </c>
      <c r="O408" s="8">
        <v>10</v>
      </c>
      <c r="P408" s="8"/>
      <c r="R408">
        <f t="shared" si="63"/>
        <v>1</v>
      </c>
      <c r="S408">
        <f t="shared" si="64"/>
        <v>0</v>
      </c>
      <c r="T408">
        <f t="shared" si="65"/>
        <v>0</v>
      </c>
      <c r="U408">
        <f t="shared" si="66"/>
        <v>58.4</v>
      </c>
      <c r="V408" t="str">
        <f t="shared" si="67"/>
        <v/>
      </c>
      <c r="W408" t="str">
        <f t="shared" si="68"/>
        <v/>
      </c>
      <c r="X408">
        <f t="shared" si="69"/>
        <v>1</v>
      </c>
    </row>
    <row r="409" spans="1:24" x14ac:dyDescent="0.25">
      <c r="A409" s="8">
        <v>33</v>
      </c>
      <c r="B409" s="8">
        <v>15</v>
      </c>
      <c r="C409" s="8">
        <v>100</v>
      </c>
      <c r="D409" s="8">
        <v>1</v>
      </c>
      <c r="E409" s="8">
        <v>49.1</v>
      </c>
      <c r="F409" s="8">
        <v>3054</v>
      </c>
      <c r="G409" s="8">
        <v>10.3</v>
      </c>
      <c r="H409" s="8">
        <v>2</v>
      </c>
      <c r="I409" s="8">
        <v>15</v>
      </c>
      <c r="J409" s="8">
        <v>54837120</v>
      </c>
      <c r="K409" s="8">
        <v>1</v>
      </c>
      <c r="L409" s="8">
        <v>1</v>
      </c>
      <c r="M409" s="8">
        <v>1</v>
      </c>
      <c r="N409" s="8">
        <v>10</v>
      </c>
      <c r="O409" s="8">
        <v>10</v>
      </c>
      <c r="P409" s="8"/>
      <c r="R409">
        <f t="shared" si="63"/>
        <v>1</v>
      </c>
      <c r="S409">
        <f t="shared" si="64"/>
        <v>0</v>
      </c>
      <c r="T409">
        <f t="shared" si="65"/>
        <v>0</v>
      </c>
      <c r="U409">
        <f t="shared" si="66"/>
        <v>49.1</v>
      </c>
      <c r="V409" t="str">
        <f t="shared" si="67"/>
        <v/>
      </c>
      <c r="W409" t="str">
        <f t="shared" si="68"/>
        <v/>
      </c>
      <c r="X409">
        <f t="shared" si="69"/>
        <v>1</v>
      </c>
    </row>
    <row r="410" spans="1:24" x14ac:dyDescent="0.25">
      <c r="A410" s="8">
        <v>33</v>
      </c>
      <c r="B410" s="8">
        <v>16</v>
      </c>
      <c r="C410" s="8">
        <v>94</v>
      </c>
      <c r="D410" s="8">
        <v>1</v>
      </c>
      <c r="E410" s="8">
        <v>62.4</v>
      </c>
      <c r="F410" s="8">
        <v>1604</v>
      </c>
      <c r="G410" s="8">
        <v>11.1</v>
      </c>
      <c r="H410" s="8">
        <v>2</v>
      </c>
      <c r="I410" s="8">
        <v>17</v>
      </c>
      <c r="J410" s="8">
        <v>54837120</v>
      </c>
      <c r="K410" s="8">
        <v>1</v>
      </c>
      <c r="L410" s="8">
        <v>1</v>
      </c>
      <c r="M410" s="8">
        <v>1</v>
      </c>
      <c r="N410" s="8">
        <v>8</v>
      </c>
      <c r="O410" s="8">
        <v>9</v>
      </c>
      <c r="P410" s="8"/>
      <c r="R410">
        <f t="shared" si="63"/>
        <v>1</v>
      </c>
      <c r="S410">
        <f t="shared" si="64"/>
        <v>0</v>
      </c>
      <c r="T410">
        <f t="shared" si="65"/>
        <v>0</v>
      </c>
      <c r="U410">
        <f t="shared" si="66"/>
        <v>62.4</v>
      </c>
      <c r="V410" t="str">
        <f t="shared" si="67"/>
        <v/>
      </c>
      <c r="W410" t="str">
        <f t="shared" si="68"/>
        <v/>
      </c>
      <c r="X410">
        <f t="shared" si="69"/>
        <v>1</v>
      </c>
    </row>
    <row r="411" spans="1:24" x14ac:dyDescent="0.25">
      <c r="A411" s="8">
        <v>33</v>
      </c>
      <c r="B411" s="8">
        <v>17</v>
      </c>
      <c r="C411" s="8">
        <v>100</v>
      </c>
      <c r="D411" s="8">
        <v>1</v>
      </c>
      <c r="E411" s="8">
        <v>28.6</v>
      </c>
      <c r="F411" s="8">
        <v>733</v>
      </c>
      <c r="G411" s="8">
        <v>9</v>
      </c>
      <c r="H411" s="8">
        <v>2</v>
      </c>
      <c r="I411" s="8">
        <v>13</v>
      </c>
      <c r="J411" s="8">
        <v>54837120</v>
      </c>
      <c r="K411" s="8">
        <v>4</v>
      </c>
      <c r="L411" s="8">
        <v>4</v>
      </c>
      <c r="M411" s="8">
        <v>3</v>
      </c>
      <c r="N411" s="8">
        <v>7</v>
      </c>
      <c r="O411" s="8">
        <v>10</v>
      </c>
      <c r="P411" s="8"/>
      <c r="R411">
        <f t="shared" si="63"/>
        <v>1</v>
      </c>
      <c r="S411">
        <f t="shared" si="64"/>
        <v>0</v>
      </c>
      <c r="T411">
        <f t="shared" si="65"/>
        <v>0</v>
      </c>
      <c r="U411">
        <f t="shared" si="66"/>
        <v>28.6</v>
      </c>
      <c r="V411" t="str">
        <f t="shared" si="67"/>
        <v/>
      </c>
      <c r="W411" t="str">
        <f t="shared" si="68"/>
        <v/>
      </c>
      <c r="X411">
        <f t="shared" si="69"/>
        <v>1</v>
      </c>
    </row>
    <row r="412" spans="1:24" x14ac:dyDescent="0.25">
      <c r="A412" s="8">
        <v>33</v>
      </c>
      <c r="B412" s="8">
        <v>18</v>
      </c>
      <c r="C412" s="8">
        <v>100</v>
      </c>
      <c r="D412" s="8">
        <v>1</v>
      </c>
      <c r="E412" s="8">
        <v>44.1</v>
      </c>
      <c r="F412" s="8">
        <v>310</v>
      </c>
      <c r="G412" s="8">
        <v>7.9</v>
      </c>
      <c r="H412" s="8">
        <v>2</v>
      </c>
      <c r="I412" s="8">
        <v>12</v>
      </c>
      <c r="J412" s="8">
        <v>54837120</v>
      </c>
      <c r="K412" s="8">
        <v>1</v>
      </c>
      <c r="L412" s="8">
        <v>1</v>
      </c>
      <c r="M412" s="8">
        <v>1</v>
      </c>
      <c r="N412" s="8">
        <v>9</v>
      </c>
      <c r="O412" s="8">
        <v>10</v>
      </c>
      <c r="P412" s="8"/>
      <c r="R412">
        <f t="shared" si="63"/>
        <v>1</v>
      </c>
      <c r="S412">
        <f t="shared" si="64"/>
        <v>0</v>
      </c>
      <c r="T412">
        <f t="shared" si="65"/>
        <v>0</v>
      </c>
      <c r="U412">
        <f t="shared" si="66"/>
        <v>44.1</v>
      </c>
      <c r="V412" t="str">
        <f t="shared" si="67"/>
        <v/>
      </c>
      <c r="W412" t="str">
        <f t="shared" si="68"/>
        <v/>
      </c>
      <c r="X412">
        <f t="shared" si="69"/>
        <v>1</v>
      </c>
    </row>
    <row r="413" spans="1:24" x14ac:dyDescent="0.25">
      <c r="A413" s="8">
        <v>33</v>
      </c>
      <c r="B413" s="8">
        <v>19</v>
      </c>
      <c r="C413" s="8">
        <v>100</v>
      </c>
      <c r="D413" s="8">
        <v>1</v>
      </c>
      <c r="E413" s="8">
        <v>29.7</v>
      </c>
      <c r="F413" s="8">
        <v>597</v>
      </c>
      <c r="G413" s="8">
        <v>9.3000000000000007</v>
      </c>
      <c r="H413" s="8">
        <v>3</v>
      </c>
      <c r="I413" s="8">
        <v>13</v>
      </c>
      <c r="J413" s="8">
        <v>54837120</v>
      </c>
      <c r="K413" s="8">
        <v>2</v>
      </c>
      <c r="L413" s="8">
        <v>2</v>
      </c>
      <c r="M413" s="8">
        <v>1</v>
      </c>
      <c r="N413" s="8">
        <v>10</v>
      </c>
      <c r="O413" s="8">
        <v>10</v>
      </c>
      <c r="P413" s="8"/>
      <c r="R413">
        <f t="shared" si="63"/>
        <v>1</v>
      </c>
      <c r="S413">
        <f t="shared" si="64"/>
        <v>0</v>
      </c>
      <c r="T413">
        <f t="shared" si="65"/>
        <v>0</v>
      </c>
      <c r="U413">
        <f t="shared" si="66"/>
        <v>29.7</v>
      </c>
      <c r="V413" t="str">
        <f t="shared" si="67"/>
        <v/>
      </c>
      <c r="W413" t="str">
        <f t="shared" si="68"/>
        <v/>
      </c>
      <c r="X413">
        <f t="shared" si="69"/>
        <v>1</v>
      </c>
    </row>
    <row r="414" spans="1:24" x14ac:dyDescent="0.25">
      <c r="A414" s="8">
        <v>33</v>
      </c>
      <c r="B414" s="8">
        <v>20</v>
      </c>
      <c r="C414" s="8">
        <v>100</v>
      </c>
      <c r="D414" s="8">
        <v>2</v>
      </c>
      <c r="E414" s="8">
        <v>108.1</v>
      </c>
      <c r="F414" s="8">
        <v>4605</v>
      </c>
      <c r="G414" s="8">
        <v>10.3</v>
      </c>
      <c r="H414" s="8">
        <v>2</v>
      </c>
      <c r="I414" s="8">
        <v>16</v>
      </c>
      <c r="J414" s="8">
        <v>109674240</v>
      </c>
      <c r="K414" s="8">
        <v>1</v>
      </c>
      <c r="L414" s="8">
        <v>1</v>
      </c>
      <c r="M414" s="8">
        <v>1</v>
      </c>
      <c r="N414" s="8">
        <v>10</v>
      </c>
      <c r="O414" s="8">
        <v>10</v>
      </c>
      <c r="P414" s="8"/>
      <c r="R414">
        <f t="shared" si="63"/>
        <v>0</v>
      </c>
      <c r="S414">
        <f t="shared" si="64"/>
        <v>1</v>
      </c>
      <c r="T414">
        <f t="shared" si="65"/>
        <v>0</v>
      </c>
      <c r="U414" t="str">
        <f t="shared" si="66"/>
        <v/>
      </c>
      <c r="V414">
        <f t="shared" si="67"/>
        <v>108.1</v>
      </c>
      <c r="W414" t="str">
        <f t="shared" si="68"/>
        <v/>
      </c>
      <c r="X414">
        <f t="shared" si="69"/>
        <v>1</v>
      </c>
    </row>
    <row r="415" spans="1:24" x14ac:dyDescent="0.25">
      <c r="A415" s="8">
        <v>33</v>
      </c>
      <c r="B415" s="8">
        <v>21</v>
      </c>
      <c r="C415" s="8">
        <v>97</v>
      </c>
      <c r="D415" s="8">
        <v>1</v>
      </c>
      <c r="E415" s="8">
        <v>55.2</v>
      </c>
      <c r="F415" s="8">
        <v>12226</v>
      </c>
      <c r="G415" s="8">
        <v>11.2</v>
      </c>
      <c r="H415" s="8">
        <v>2</v>
      </c>
      <c r="I415" s="8">
        <v>15</v>
      </c>
      <c r="J415" s="8">
        <v>54837120</v>
      </c>
      <c r="K415" s="8">
        <v>2</v>
      </c>
      <c r="L415" s="8">
        <v>2</v>
      </c>
      <c r="M415" s="8">
        <v>2</v>
      </c>
      <c r="N415" s="8">
        <v>9</v>
      </c>
      <c r="O415" s="8">
        <v>9</v>
      </c>
      <c r="P415" s="8"/>
      <c r="R415">
        <f t="shared" ref="R415:R478" si="70">IF(D415=1,1,0)</f>
        <v>1</v>
      </c>
      <c r="S415">
        <f t="shared" ref="S415:S478" si="71">IF(D415=2,1,0)</f>
        <v>0</v>
      </c>
      <c r="T415">
        <f t="shared" ref="T415:T478" si="72">IF(D415=3,1,0)</f>
        <v>0</v>
      </c>
      <c r="U415">
        <f t="shared" si="66"/>
        <v>55.2</v>
      </c>
      <c r="V415" t="str">
        <f t="shared" si="67"/>
        <v/>
      </c>
      <c r="W415" t="str">
        <f t="shared" si="68"/>
        <v/>
      </c>
      <c r="X415">
        <f t="shared" si="69"/>
        <v>1</v>
      </c>
    </row>
    <row r="416" spans="1:24" x14ac:dyDescent="0.25">
      <c r="A416" s="8">
        <v>33</v>
      </c>
      <c r="B416" s="8">
        <v>22</v>
      </c>
      <c r="C416" s="8">
        <v>93</v>
      </c>
      <c r="D416" s="8">
        <v>1</v>
      </c>
      <c r="E416" s="8">
        <v>24.5</v>
      </c>
      <c r="F416" s="8">
        <v>2578</v>
      </c>
      <c r="G416" s="8">
        <v>9.8000000000000007</v>
      </c>
      <c r="H416" s="8">
        <v>2</v>
      </c>
      <c r="I416" s="8">
        <v>15</v>
      </c>
      <c r="J416" s="8">
        <v>54837120</v>
      </c>
      <c r="K416" s="8">
        <v>1</v>
      </c>
      <c r="L416" s="8">
        <v>1</v>
      </c>
      <c r="M416" s="8">
        <v>1</v>
      </c>
      <c r="N416" s="8">
        <v>8</v>
      </c>
      <c r="O416" s="8">
        <v>9</v>
      </c>
      <c r="P416" s="8"/>
      <c r="R416">
        <f t="shared" si="70"/>
        <v>1</v>
      </c>
      <c r="S416">
        <f t="shared" si="71"/>
        <v>0</v>
      </c>
      <c r="T416">
        <f t="shared" si="72"/>
        <v>0</v>
      </c>
      <c r="U416">
        <f t="shared" si="66"/>
        <v>24.5</v>
      </c>
      <c r="V416" t="str">
        <f t="shared" si="67"/>
        <v/>
      </c>
      <c r="W416" t="str">
        <f t="shared" si="68"/>
        <v/>
      </c>
      <c r="X416">
        <f t="shared" si="69"/>
        <v>1</v>
      </c>
    </row>
    <row r="417" spans="1:24" x14ac:dyDescent="0.25">
      <c r="A417" s="8">
        <v>33</v>
      </c>
      <c r="B417" s="8">
        <v>23</v>
      </c>
      <c r="C417" s="8">
        <v>100</v>
      </c>
      <c r="D417" s="8">
        <v>1</v>
      </c>
      <c r="E417" s="8">
        <v>39.9</v>
      </c>
      <c r="F417" s="8">
        <v>1440</v>
      </c>
      <c r="G417" s="8">
        <v>8.8000000000000007</v>
      </c>
      <c r="H417" s="8">
        <v>2</v>
      </c>
      <c r="I417" s="8">
        <v>13</v>
      </c>
      <c r="J417" s="8">
        <v>54837120</v>
      </c>
      <c r="K417" s="8">
        <v>2</v>
      </c>
      <c r="L417" s="8">
        <v>2</v>
      </c>
      <c r="M417" s="8">
        <v>1</v>
      </c>
      <c r="N417" s="8">
        <v>10</v>
      </c>
      <c r="O417" s="8">
        <v>10</v>
      </c>
      <c r="P417" s="8"/>
      <c r="R417">
        <f t="shared" si="70"/>
        <v>1</v>
      </c>
      <c r="S417">
        <f t="shared" si="71"/>
        <v>0</v>
      </c>
      <c r="T417">
        <f t="shared" si="72"/>
        <v>0</v>
      </c>
      <c r="U417">
        <f t="shared" ref="U417:U483" si="73">IF(D417=1,E417,"")</f>
        <v>39.9</v>
      </c>
      <c r="V417" t="str">
        <f t="shared" ref="V417:V483" si="74">IF(D417=2,E417,"")</f>
        <v/>
      </c>
      <c r="W417" t="str">
        <f t="shared" ref="W417:W483" si="75">IF(D417=3,E417,"")</f>
        <v/>
      </c>
      <c r="X417">
        <f t="shared" si="69"/>
        <v>1</v>
      </c>
    </row>
    <row r="418" spans="1:24" x14ac:dyDescent="0.25">
      <c r="A418" s="8">
        <v>33</v>
      </c>
      <c r="B418" s="8">
        <v>24</v>
      </c>
      <c r="C418" s="8">
        <v>96</v>
      </c>
      <c r="D418" s="8">
        <v>1</v>
      </c>
      <c r="E418" s="8">
        <v>17.3</v>
      </c>
      <c r="F418" s="8">
        <v>1626</v>
      </c>
      <c r="G418" s="8">
        <v>9.6</v>
      </c>
      <c r="H418" s="8">
        <v>2</v>
      </c>
      <c r="I418" s="8">
        <v>14</v>
      </c>
      <c r="J418" s="8">
        <v>54837120</v>
      </c>
      <c r="K418" s="8">
        <v>3</v>
      </c>
      <c r="L418" s="8">
        <v>3</v>
      </c>
      <c r="M418" s="8">
        <v>2</v>
      </c>
      <c r="N418" s="8">
        <v>9</v>
      </c>
      <c r="O418" s="8">
        <v>10</v>
      </c>
      <c r="P418" s="8"/>
      <c r="R418">
        <f t="shared" si="70"/>
        <v>1</v>
      </c>
      <c r="S418">
        <f t="shared" si="71"/>
        <v>0</v>
      </c>
      <c r="T418">
        <f t="shared" si="72"/>
        <v>0</v>
      </c>
      <c r="U418">
        <f t="shared" si="73"/>
        <v>17.3</v>
      </c>
      <c r="V418" t="str">
        <f t="shared" si="74"/>
        <v/>
      </c>
      <c r="W418" t="str">
        <f t="shared" si="75"/>
        <v/>
      </c>
      <c r="X418">
        <f t="shared" si="69"/>
        <v>1</v>
      </c>
    </row>
    <row r="419" spans="1:24" x14ac:dyDescent="0.25">
      <c r="A419" s="8">
        <v>33</v>
      </c>
      <c r="B419" s="8">
        <v>25</v>
      </c>
      <c r="C419" s="8">
        <v>100</v>
      </c>
      <c r="D419" s="8">
        <v>1</v>
      </c>
      <c r="E419" s="8">
        <v>36.799999999999997</v>
      </c>
      <c r="F419" s="8">
        <v>2170</v>
      </c>
      <c r="G419" s="8">
        <v>9.5</v>
      </c>
      <c r="H419" s="8">
        <v>2</v>
      </c>
      <c r="I419" s="8">
        <v>14</v>
      </c>
      <c r="J419" s="8">
        <v>54837120</v>
      </c>
      <c r="K419" s="8">
        <v>1</v>
      </c>
      <c r="L419" s="8">
        <v>1</v>
      </c>
      <c r="M419" s="8">
        <v>1</v>
      </c>
      <c r="N419" s="8">
        <v>9</v>
      </c>
      <c r="O419" s="8">
        <v>10</v>
      </c>
      <c r="P419" s="8"/>
      <c r="R419">
        <f t="shared" si="70"/>
        <v>1</v>
      </c>
      <c r="S419">
        <f t="shared" si="71"/>
        <v>0</v>
      </c>
      <c r="T419">
        <f t="shared" si="72"/>
        <v>0</v>
      </c>
      <c r="U419">
        <f t="shared" si="73"/>
        <v>36.799999999999997</v>
      </c>
      <c r="V419" t="str">
        <f t="shared" si="74"/>
        <v/>
      </c>
      <c r="W419" t="str">
        <f t="shared" si="75"/>
        <v/>
      </c>
      <c r="X419">
        <f t="shared" si="69"/>
        <v>1</v>
      </c>
    </row>
    <row r="420" spans="1:24" x14ac:dyDescent="0.25">
      <c r="A420" s="8">
        <v>33</v>
      </c>
      <c r="B420" s="8">
        <v>26</v>
      </c>
      <c r="C420" s="8">
        <v>100</v>
      </c>
      <c r="D420" s="8">
        <v>1</v>
      </c>
      <c r="E420" s="8">
        <v>35.6</v>
      </c>
      <c r="F420" s="8">
        <v>617</v>
      </c>
      <c r="G420" s="8">
        <v>8.6</v>
      </c>
      <c r="H420" s="8">
        <v>2</v>
      </c>
      <c r="I420" s="8">
        <v>14</v>
      </c>
      <c r="J420" s="8">
        <v>54837120</v>
      </c>
      <c r="K420" s="8">
        <v>2</v>
      </c>
      <c r="L420" s="8">
        <v>2</v>
      </c>
      <c r="M420" s="8">
        <v>1</v>
      </c>
      <c r="N420" s="8">
        <v>8</v>
      </c>
      <c r="O420" s="8">
        <v>10</v>
      </c>
      <c r="P420" s="8"/>
      <c r="R420">
        <f t="shared" si="70"/>
        <v>1</v>
      </c>
      <c r="S420">
        <f t="shared" si="71"/>
        <v>0</v>
      </c>
      <c r="T420">
        <f t="shared" si="72"/>
        <v>0</v>
      </c>
      <c r="U420">
        <f t="shared" si="73"/>
        <v>35.6</v>
      </c>
      <c r="V420" t="str">
        <f t="shared" si="74"/>
        <v/>
      </c>
      <c r="W420" t="str">
        <f t="shared" si="75"/>
        <v/>
      </c>
      <c r="X420">
        <f t="shared" si="69"/>
        <v>1</v>
      </c>
    </row>
    <row r="421" spans="1:24" x14ac:dyDescent="0.25">
      <c r="A421" s="8">
        <v>33</v>
      </c>
      <c r="B421" s="8">
        <v>27</v>
      </c>
      <c r="C421" s="8">
        <v>100</v>
      </c>
      <c r="D421" s="8">
        <v>1</v>
      </c>
      <c r="E421" s="8">
        <v>43.9</v>
      </c>
      <c r="F421" s="8">
        <v>794</v>
      </c>
      <c r="G421" s="8">
        <v>8.5</v>
      </c>
      <c r="H421" s="8">
        <v>2</v>
      </c>
      <c r="I421" s="8">
        <v>12</v>
      </c>
      <c r="J421" s="8">
        <v>54837120</v>
      </c>
      <c r="K421" s="8">
        <v>1</v>
      </c>
      <c r="L421" s="8">
        <v>1</v>
      </c>
      <c r="M421" s="8">
        <v>1</v>
      </c>
      <c r="N421" s="8">
        <v>10</v>
      </c>
      <c r="O421" s="8">
        <v>10</v>
      </c>
      <c r="P421" s="8"/>
      <c r="R421">
        <f t="shared" si="70"/>
        <v>1</v>
      </c>
      <c r="S421">
        <f t="shared" si="71"/>
        <v>0</v>
      </c>
      <c r="T421">
        <f t="shared" si="72"/>
        <v>0</v>
      </c>
      <c r="U421">
        <f t="shared" si="73"/>
        <v>43.9</v>
      </c>
      <c r="V421" t="str">
        <f t="shared" si="74"/>
        <v/>
      </c>
      <c r="W421" t="str">
        <f t="shared" si="75"/>
        <v/>
      </c>
      <c r="X421">
        <f t="shared" si="69"/>
        <v>1</v>
      </c>
    </row>
    <row r="422" spans="1:24" x14ac:dyDescent="0.25">
      <c r="A422" s="8">
        <v>33</v>
      </c>
      <c r="B422" s="8">
        <v>28</v>
      </c>
      <c r="C422" s="8">
        <v>100</v>
      </c>
      <c r="D422" s="8">
        <v>1</v>
      </c>
      <c r="E422" s="8">
        <v>27.5</v>
      </c>
      <c r="F422" s="8">
        <v>536</v>
      </c>
      <c r="G422" s="8">
        <v>6.6</v>
      </c>
      <c r="H422" s="8">
        <v>2</v>
      </c>
      <c r="I422" s="8">
        <v>9</v>
      </c>
      <c r="J422" s="8">
        <v>54837120</v>
      </c>
      <c r="K422" s="8">
        <v>1</v>
      </c>
      <c r="L422" s="8">
        <v>1</v>
      </c>
      <c r="M422" s="8">
        <v>1</v>
      </c>
      <c r="N422" s="8">
        <v>9</v>
      </c>
      <c r="O422" s="8">
        <v>10</v>
      </c>
      <c r="P422" s="8"/>
      <c r="R422">
        <f t="shared" si="70"/>
        <v>1</v>
      </c>
      <c r="S422">
        <f t="shared" si="71"/>
        <v>0</v>
      </c>
      <c r="T422">
        <f t="shared" si="72"/>
        <v>0</v>
      </c>
      <c r="U422">
        <f t="shared" si="73"/>
        <v>27.5</v>
      </c>
      <c r="V422" t="str">
        <f t="shared" si="74"/>
        <v/>
      </c>
      <c r="W422" t="str">
        <f t="shared" si="75"/>
        <v/>
      </c>
      <c r="X422">
        <f t="shared" si="69"/>
        <v>1</v>
      </c>
    </row>
    <row r="423" spans="1:24" x14ac:dyDescent="0.25">
      <c r="A423" s="8">
        <v>33</v>
      </c>
      <c r="B423" s="8">
        <v>29</v>
      </c>
      <c r="C423" s="8">
        <v>100</v>
      </c>
      <c r="D423" s="8">
        <v>3</v>
      </c>
      <c r="E423" s="8">
        <v>971.6</v>
      </c>
      <c r="F423" s="8">
        <v>2620</v>
      </c>
      <c r="G423" s="8">
        <v>9.8000000000000007</v>
      </c>
      <c r="H423" s="8">
        <v>2</v>
      </c>
      <c r="I423" s="8">
        <v>15</v>
      </c>
      <c r="J423" s="8">
        <v>1535439360</v>
      </c>
      <c r="K423" s="8">
        <v>2</v>
      </c>
      <c r="L423" s="8">
        <v>2</v>
      </c>
      <c r="M423" s="8">
        <v>1</v>
      </c>
      <c r="N423" s="8">
        <v>9</v>
      </c>
      <c r="O423" s="8">
        <v>10</v>
      </c>
      <c r="P423" s="8"/>
      <c r="R423">
        <f t="shared" si="70"/>
        <v>0</v>
      </c>
      <c r="S423">
        <f t="shared" si="71"/>
        <v>0</v>
      </c>
      <c r="T423">
        <f t="shared" si="72"/>
        <v>1</v>
      </c>
      <c r="U423" t="str">
        <f t="shared" si="73"/>
        <v/>
      </c>
      <c r="V423" t="str">
        <f t="shared" si="74"/>
        <v/>
      </c>
      <c r="W423">
        <f t="shared" si="75"/>
        <v>971.6</v>
      </c>
      <c r="X423">
        <f t="shared" si="69"/>
        <v>1</v>
      </c>
    </row>
    <row r="424" spans="1:24" x14ac:dyDescent="0.25">
      <c r="A424" s="8">
        <v>34</v>
      </c>
      <c r="B424" s="8">
        <v>0</v>
      </c>
      <c r="C424" s="8">
        <v>100</v>
      </c>
      <c r="D424" s="8">
        <v>1</v>
      </c>
      <c r="E424" s="8">
        <v>36.9</v>
      </c>
      <c r="F424" s="8">
        <v>639</v>
      </c>
      <c r="G424" s="8">
        <v>8.6</v>
      </c>
      <c r="H424" s="8">
        <v>2</v>
      </c>
      <c r="I424" s="8">
        <v>11</v>
      </c>
      <c r="J424" s="8">
        <v>54837120</v>
      </c>
      <c r="K424" s="8">
        <v>1</v>
      </c>
      <c r="L424" s="8">
        <v>1</v>
      </c>
      <c r="M424" s="8">
        <v>1</v>
      </c>
      <c r="N424" s="8">
        <v>10</v>
      </c>
      <c r="O424" s="8">
        <v>10</v>
      </c>
      <c r="P424" s="8"/>
      <c r="R424">
        <f t="shared" si="70"/>
        <v>1</v>
      </c>
      <c r="S424">
        <f t="shared" si="71"/>
        <v>0</v>
      </c>
      <c r="T424">
        <f t="shared" si="72"/>
        <v>0</v>
      </c>
      <c r="U424">
        <f t="shared" si="73"/>
        <v>36.9</v>
      </c>
      <c r="V424" t="str">
        <f t="shared" si="74"/>
        <v/>
      </c>
      <c r="W424" t="str">
        <f t="shared" si="75"/>
        <v/>
      </c>
      <c r="X424">
        <f t="shared" si="69"/>
        <v>1</v>
      </c>
    </row>
    <row r="425" spans="1:24" x14ac:dyDescent="0.25">
      <c r="A425" s="8">
        <v>34</v>
      </c>
      <c r="B425" s="8">
        <v>1</v>
      </c>
      <c r="C425" s="8">
        <v>100</v>
      </c>
      <c r="D425" s="8">
        <v>2</v>
      </c>
      <c r="E425" s="8">
        <v>63.4</v>
      </c>
      <c r="F425" s="8">
        <v>7917</v>
      </c>
      <c r="G425" s="8">
        <v>12.8</v>
      </c>
      <c r="H425" s="8">
        <v>2</v>
      </c>
      <c r="I425" s="8">
        <v>19</v>
      </c>
      <c r="J425" s="8">
        <v>109674240</v>
      </c>
      <c r="K425" s="8">
        <v>1</v>
      </c>
      <c r="L425" s="8">
        <v>1</v>
      </c>
      <c r="M425" s="8">
        <v>1</v>
      </c>
      <c r="N425" s="8">
        <v>10</v>
      </c>
      <c r="O425" s="8">
        <v>10</v>
      </c>
      <c r="P425" s="8"/>
      <c r="R425">
        <f t="shared" si="70"/>
        <v>0</v>
      </c>
      <c r="S425">
        <f t="shared" si="71"/>
        <v>1</v>
      </c>
      <c r="T425">
        <f t="shared" si="72"/>
        <v>0</v>
      </c>
      <c r="U425" t="str">
        <f t="shared" si="73"/>
        <v/>
      </c>
      <c r="V425">
        <f t="shared" si="74"/>
        <v>63.4</v>
      </c>
      <c r="W425" t="str">
        <f t="shared" si="75"/>
        <v/>
      </c>
      <c r="X425">
        <f t="shared" si="69"/>
        <v>1</v>
      </c>
    </row>
    <row r="426" spans="1:24" x14ac:dyDescent="0.25">
      <c r="A426" s="8">
        <v>34</v>
      </c>
      <c r="B426" s="8">
        <v>2</v>
      </c>
      <c r="C426" s="8">
        <v>100</v>
      </c>
      <c r="D426" s="8">
        <v>1</v>
      </c>
      <c r="E426" s="8">
        <v>27.5</v>
      </c>
      <c r="F426" s="8">
        <v>5184</v>
      </c>
      <c r="G426" s="8">
        <v>10.8</v>
      </c>
      <c r="H426" s="8">
        <v>2</v>
      </c>
      <c r="I426" s="8">
        <v>17</v>
      </c>
      <c r="J426" s="8">
        <v>54837120</v>
      </c>
      <c r="K426" s="8">
        <v>1</v>
      </c>
      <c r="L426" s="8">
        <v>1</v>
      </c>
      <c r="M426" s="8">
        <v>1</v>
      </c>
      <c r="N426" s="8">
        <v>10</v>
      </c>
      <c r="O426" s="8">
        <v>10</v>
      </c>
      <c r="P426" s="8"/>
      <c r="R426">
        <f t="shared" si="70"/>
        <v>1</v>
      </c>
      <c r="S426">
        <f t="shared" si="71"/>
        <v>0</v>
      </c>
      <c r="T426">
        <f t="shared" si="72"/>
        <v>0</v>
      </c>
      <c r="U426">
        <f t="shared" si="73"/>
        <v>27.5</v>
      </c>
      <c r="V426" t="str">
        <f t="shared" si="74"/>
        <v/>
      </c>
      <c r="W426" t="str">
        <f t="shared" si="75"/>
        <v/>
      </c>
      <c r="X426">
        <f t="shared" si="69"/>
        <v>1</v>
      </c>
    </row>
    <row r="427" spans="1:24" x14ac:dyDescent="0.25">
      <c r="A427" s="8">
        <v>34</v>
      </c>
      <c r="B427" s="8">
        <v>3</v>
      </c>
      <c r="C427" s="8">
        <v>100</v>
      </c>
      <c r="D427" s="8">
        <v>1</v>
      </c>
      <c r="E427" s="8">
        <v>14.3</v>
      </c>
      <c r="F427" s="8">
        <v>2874</v>
      </c>
      <c r="G427" s="8">
        <v>12</v>
      </c>
      <c r="H427" s="8">
        <v>2</v>
      </c>
      <c r="I427" s="8">
        <v>17</v>
      </c>
      <c r="J427" s="8">
        <v>54837120</v>
      </c>
      <c r="K427" s="8">
        <v>2</v>
      </c>
      <c r="L427" s="8">
        <v>2</v>
      </c>
      <c r="M427" s="8">
        <v>2</v>
      </c>
      <c r="N427" s="8">
        <v>10</v>
      </c>
      <c r="O427" s="8">
        <v>10</v>
      </c>
      <c r="P427" s="8"/>
      <c r="R427">
        <f t="shared" si="70"/>
        <v>1</v>
      </c>
      <c r="S427">
        <f t="shared" si="71"/>
        <v>0</v>
      </c>
      <c r="T427">
        <f t="shared" si="72"/>
        <v>0</v>
      </c>
      <c r="U427">
        <f t="shared" si="73"/>
        <v>14.3</v>
      </c>
      <c r="V427" t="str">
        <f t="shared" si="74"/>
        <v/>
      </c>
      <c r="W427" t="str">
        <f t="shared" si="75"/>
        <v/>
      </c>
      <c r="X427">
        <f t="shared" si="69"/>
        <v>1</v>
      </c>
    </row>
    <row r="428" spans="1:24" x14ac:dyDescent="0.25">
      <c r="A428" s="8">
        <v>34</v>
      </c>
      <c r="B428" s="8">
        <v>4</v>
      </c>
      <c r="C428" s="8">
        <v>100</v>
      </c>
      <c r="D428" s="8">
        <v>1</v>
      </c>
      <c r="E428" s="8">
        <v>55</v>
      </c>
      <c r="F428" s="8">
        <v>5256</v>
      </c>
      <c r="G428" s="8">
        <v>12.2</v>
      </c>
      <c r="H428" s="8">
        <v>2</v>
      </c>
      <c r="I428" s="8">
        <v>16</v>
      </c>
      <c r="J428" s="8">
        <v>54837120</v>
      </c>
      <c r="K428" s="8">
        <v>2</v>
      </c>
      <c r="L428" s="8">
        <v>2</v>
      </c>
      <c r="M428" s="8">
        <v>1</v>
      </c>
      <c r="N428" s="8">
        <v>10</v>
      </c>
      <c r="O428" s="8">
        <v>10</v>
      </c>
      <c r="P428" s="8"/>
      <c r="R428">
        <f t="shared" si="70"/>
        <v>1</v>
      </c>
      <c r="S428">
        <f t="shared" si="71"/>
        <v>0</v>
      </c>
      <c r="T428">
        <f t="shared" si="72"/>
        <v>0</v>
      </c>
      <c r="U428">
        <f t="shared" si="73"/>
        <v>55</v>
      </c>
      <c r="V428" t="str">
        <f t="shared" si="74"/>
        <v/>
      </c>
      <c r="W428" t="str">
        <f t="shared" si="75"/>
        <v/>
      </c>
      <c r="X428">
        <f t="shared" si="69"/>
        <v>1</v>
      </c>
    </row>
    <row r="429" spans="1:24" x14ac:dyDescent="0.25">
      <c r="A429" s="8">
        <v>34</v>
      </c>
      <c r="B429" s="8">
        <v>5</v>
      </c>
      <c r="C429" s="8">
        <v>100</v>
      </c>
      <c r="D429" s="8">
        <v>1</v>
      </c>
      <c r="E429" s="8">
        <v>40.799999999999997</v>
      </c>
      <c r="F429" s="8">
        <v>876</v>
      </c>
      <c r="G429" s="8">
        <v>7</v>
      </c>
      <c r="H429" s="8">
        <v>2</v>
      </c>
      <c r="I429" s="8">
        <v>9</v>
      </c>
      <c r="J429" s="8">
        <v>54837120</v>
      </c>
      <c r="K429" s="8">
        <v>1</v>
      </c>
      <c r="L429" s="8">
        <v>1</v>
      </c>
      <c r="M429" s="8">
        <v>1</v>
      </c>
      <c r="N429" s="8">
        <v>6</v>
      </c>
      <c r="O429" s="8">
        <v>10</v>
      </c>
      <c r="P429" s="8"/>
      <c r="R429">
        <f t="shared" si="70"/>
        <v>1</v>
      </c>
      <c r="S429">
        <f t="shared" si="71"/>
        <v>0</v>
      </c>
      <c r="T429">
        <f t="shared" si="72"/>
        <v>0</v>
      </c>
      <c r="U429">
        <f t="shared" si="73"/>
        <v>40.799999999999997</v>
      </c>
      <c r="V429" t="str">
        <f t="shared" si="74"/>
        <v/>
      </c>
      <c r="W429" t="str">
        <f t="shared" si="75"/>
        <v/>
      </c>
      <c r="X429">
        <f t="shared" si="69"/>
        <v>1</v>
      </c>
    </row>
    <row r="430" spans="1:24" x14ac:dyDescent="0.25">
      <c r="A430" s="8">
        <v>34</v>
      </c>
      <c r="B430" s="8">
        <v>6</v>
      </c>
      <c r="C430" s="8">
        <v>100</v>
      </c>
      <c r="D430" s="8">
        <v>1</v>
      </c>
      <c r="E430" s="8">
        <v>49</v>
      </c>
      <c r="F430" s="8">
        <v>2314</v>
      </c>
      <c r="G430" s="8">
        <v>9.5</v>
      </c>
      <c r="H430" s="8">
        <v>2</v>
      </c>
      <c r="I430" s="8">
        <v>13</v>
      </c>
      <c r="J430" s="8">
        <v>54837120</v>
      </c>
      <c r="K430" s="8">
        <v>1</v>
      </c>
      <c r="L430" s="8">
        <v>1</v>
      </c>
      <c r="M430" s="8">
        <v>1</v>
      </c>
      <c r="N430" s="8">
        <v>8</v>
      </c>
      <c r="O430" s="8">
        <v>10</v>
      </c>
      <c r="P430" s="8"/>
      <c r="R430">
        <f t="shared" si="70"/>
        <v>1</v>
      </c>
      <c r="S430">
        <f t="shared" si="71"/>
        <v>0</v>
      </c>
      <c r="T430">
        <f t="shared" si="72"/>
        <v>0</v>
      </c>
      <c r="U430">
        <f t="shared" si="73"/>
        <v>49</v>
      </c>
      <c r="V430" t="str">
        <f t="shared" si="74"/>
        <v/>
      </c>
      <c r="W430" t="str">
        <f t="shared" si="75"/>
        <v/>
      </c>
      <c r="X430">
        <f t="shared" si="69"/>
        <v>1</v>
      </c>
    </row>
    <row r="431" spans="1:24" x14ac:dyDescent="0.25">
      <c r="A431" s="8">
        <v>34</v>
      </c>
      <c r="B431" s="8">
        <v>7</v>
      </c>
      <c r="C431" s="8">
        <v>100</v>
      </c>
      <c r="D431" s="8">
        <v>1</v>
      </c>
      <c r="E431" s="8">
        <v>32.700000000000003</v>
      </c>
      <c r="F431" s="8">
        <v>390</v>
      </c>
      <c r="G431" s="8">
        <v>7.1</v>
      </c>
      <c r="H431" s="8">
        <v>2</v>
      </c>
      <c r="I431" s="8">
        <v>10</v>
      </c>
      <c r="J431" s="8">
        <v>54837120</v>
      </c>
      <c r="K431" s="8">
        <v>1</v>
      </c>
      <c r="L431" s="8">
        <v>1</v>
      </c>
      <c r="M431" s="8">
        <v>1</v>
      </c>
      <c r="N431" s="8">
        <v>6</v>
      </c>
      <c r="O431" s="8">
        <v>10</v>
      </c>
      <c r="P431" s="8"/>
      <c r="R431">
        <f t="shared" si="70"/>
        <v>1</v>
      </c>
      <c r="S431">
        <f t="shared" si="71"/>
        <v>0</v>
      </c>
      <c r="T431">
        <f t="shared" si="72"/>
        <v>0</v>
      </c>
      <c r="U431">
        <f t="shared" si="73"/>
        <v>32.700000000000003</v>
      </c>
      <c r="V431" t="str">
        <f t="shared" si="74"/>
        <v/>
      </c>
      <c r="W431" t="str">
        <f t="shared" si="75"/>
        <v/>
      </c>
      <c r="X431">
        <f t="shared" si="69"/>
        <v>1</v>
      </c>
    </row>
    <row r="432" spans="1:24" x14ac:dyDescent="0.25">
      <c r="A432" s="8">
        <v>34</v>
      </c>
      <c r="B432" s="8">
        <v>8</v>
      </c>
      <c r="C432" s="8">
        <v>100</v>
      </c>
      <c r="D432" s="8">
        <v>1</v>
      </c>
      <c r="E432" s="8">
        <v>32.700000000000003</v>
      </c>
      <c r="F432" s="8">
        <v>1580</v>
      </c>
      <c r="G432" s="8">
        <v>10</v>
      </c>
      <c r="H432" s="8">
        <v>2</v>
      </c>
      <c r="I432" s="8">
        <v>14</v>
      </c>
      <c r="J432" s="8">
        <v>54837120</v>
      </c>
      <c r="K432" s="8">
        <v>1</v>
      </c>
      <c r="L432" s="8">
        <v>1</v>
      </c>
      <c r="M432" s="8">
        <v>1</v>
      </c>
      <c r="N432" s="8">
        <v>8</v>
      </c>
      <c r="O432" s="8">
        <v>10</v>
      </c>
      <c r="P432" s="8"/>
      <c r="R432">
        <f t="shared" si="70"/>
        <v>1</v>
      </c>
      <c r="S432">
        <f t="shared" si="71"/>
        <v>0</v>
      </c>
      <c r="T432">
        <f t="shared" si="72"/>
        <v>0</v>
      </c>
      <c r="U432">
        <f t="shared" si="73"/>
        <v>32.700000000000003</v>
      </c>
      <c r="V432" t="str">
        <f t="shared" si="74"/>
        <v/>
      </c>
      <c r="W432" t="str">
        <f t="shared" si="75"/>
        <v/>
      </c>
      <c r="X432">
        <f t="shared" si="69"/>
        <v>1</v>
      </c>
    </row>
    <row r="433" spans="1:24" x14ac:dyDescent="0.25">
      <c r="A433" s="8">
        <v>34</v>
      </c>
      <c r="B433" s="8">
        <v>9</v>
      </c>
      <c r="C433" s="8">
        <v>81</v>
      </c>
      <c r="D433" s="8">
        <v>1</v>
      </c>
      <c r="E433" s="8">
        <v>13.3</v>
      </c>
      <c r="F433" s="8">
        <v>514</v>
      </c>
      <c r="G433" s="8">
        <v>7.2</v>
      </c>
      <c r="H433" s="8">
        <v>2</v>
      </c>
      <c r="I433" s="8">
        <v>9</v>
      </c>
      <c r="J433" s="8">
        <v>54837120</v>
      </c>
      <c r="K433" s="8">
        <v>1</v>
      </c>
      <c r="L433" s="8">
        <v>1</v>
      </c>
      <c r="M433" s="8">
        <v>1</v>
      </c>
      <c r="N433" s="8">
        <v>9</v>
      </c>
      <c r="O433" s="8">
        <v>10</v>
      </c>
      <c r="P433" s="8"/>
      <c r="R433">
        <f t="shared" si="70"/>
        <v>1</v>
      </c>
      <c r="S433">
        <f t="shared" si="71"/>
        <v>0</v>
      </c>
      <c r="T433">
        <f t="shared" si="72"/>
        <v>0</v>
      </c>
      <c r="U433">
        <f t="shared" si="73"/>
        <v>13.3</v>
      </c>
      <c r="V433" t="str">
        <f t="shared" si="74"/>
        <v/>
      </c>
      <c r="W433" t="str">
        <f t="shared" si="75"/>
        <v/>
      </c>
      <c r="X433">
        <f t="shared" si="69"/>
        <v>1</v>
      </c>
    </row>
    <row r="434" spans="1:24" x14ac:dyDescent="0.25">
      <c r="A434" s="8">
        <v>34</v>
      </c>
      <c r="B434" s="8">
        <v>10</v>
      </c>
      <c r="C434" s="8">
        <v>93</v>
      </c>
      <c r="D434" s="8">
        <v>1</v>
      </c>
      <c r="E434" s="8">
        <v>36.700000000000003</v>
      </c>
      <c r="F434" s="8">
        <v>7368</v>
      </c>
      <c r="G434" s="8">
        <v>9.8000000000000007</v>
      </c>
      <c r="H434" s="8">
        <v>2</v>
      </c>
      <c r="I434" s="8">
        <v>14</v>
      </c>
      <c r="J434" s="8">
        <v>54837120</v>
      </c>
      <c r="K434" s="8">
        <v>2</v>
      </c>
      <c r="L434" s="8">
        <v>2</v>
      </c>
      <c r="M434" s="8">
        <v>1</v>
      </c>
      <c r="N434" s="8">
        <v>9</v>
      </c>
      <c r="O434" s="8">
        <v>9</v>
      </c>
      <c r="P434" s="8"/>
      <c r="R434">
        <f t="shared" si="70"/>
        <v>1</v>
      </c>
      <c r="S434">
        <f t="shared" si="71"/>
        <v>0</v>
      </c>
      <c r="T434">
        <f t="shared" si="72"/>
        <v>0</v>
      </c>
      <c r="U434">
        <f t="shared" si="73"/>
        <v>36.700000000000003</v>
      </c>
      <c r="V434" t="str">
        <f t="shared" si="74"/>
        <v/>
      </c>
      <c r="W434" t="str">
        <f t="shared" si="75"/>
        <v/>
      </c>
      <c r="X434">
        <f t="shared" si="69"/>
        <v>1</v>
      </c>
    </row>
    <row r="435" spans="1:24" x14ac:dyDescent="0.25">
      <c r="A435" s="8">
        <v>34</v>
      </c>
      <c r="B435" s="8">
        <v>11</v>
      </c>
      <c r="C435" s="8">
        <v>100</v>
      </c>
      <c r="D435" s="8">
        <v>1</v>
      </c>
      <c r="E435" s="8">
        <v>51.9</v>
      </c>
      <c r="F435" s="8">
        <v>1080</v>
      </c>
      <c r="G435" s="8">
        <v>10.7</v>
      </c>
      <c r="H435" s="8">
        <v>2</v>
      </c>
      <c r="I435" s="8">
        <v>15</v>
      </c>
      <c r="J435" s="8">
        <v>54837120</v>
      </c>
      <c r="K435" s="8">
        <v>1</v>
      </c>
      <c r="L435" s="8">
        <v>1</v>
      </c>
      <c r="M435" s="8">
        <v>1</v>
      </c>
      <c r="N435" s="8">
        <v>8</v>
      </c>
      <c r="O435" s="8">
        <v>10</v>
      </c>
      <c r="P435" s="8"/>
      <c r="R435">
        <f t="shared" si="70"/>
        <v>1</v>
      </c>
      <c r="S435">
        <f t="shared" si="71"/>
        <v>0</v>
      </c>
      <c r="T435">
        <f t="shared" si="72"/>
        <v>0</v>
      </c>
      <c r="U435">
        <f t="shared" si="73"/>
        <v>51.9</v>
      </c>
      <c r="V435" t="str">
        <f t="shared" si="74"/>
        <v/>
      </c>
      <c r="W435" t="str">
        <f t="shared" si="75"/>
        <v/>
      </c>
      <c r="X435">
        <f t="shared" si="69"/>
        <v>1</v>
      </c>
    </row>
    <row r="436" spans="1:24" x14ac:dyDescent="0.25">
      <c r="A436" s="8">
        <v>34</v>
      </c>
      <c r="B436" s="8">
        <v>12</v>
      </c>
      <c r="C436" s="8">
        <v>73</v>
      </c>
      <c r="D436" s="8">
        <v>2</v>
      </c>
      <c r="E436" s="8">
        <v>116.2</v>
      </c>
      <c r="F436" s="8">
        <v>1384</v>
      </c>
      <c r="G436" s="8">
        <v>10.9</v>
      </c>
      <c r="H436" s="8">
        <v>2</v>
      </c>
      <c r="I436" s="8">
        <v>13</v>
      </c>
      <c r="J436" s="8">
        <v>109674240</v>
      </c>
      <c r="K436" s="8">
        <v>1</v>
      </c>
      <c r="L436" s="8">
        <v>1</v>
      </c>
      <c r="M436" s="8">
        <v>1</v>
      </c>
      <c r="N436" s="8">
        <v>7</v>
      </c>
      <c r="O436" s="8">
        <v>11</v>
      </c>
      <c r="P436" s="8"/>
      <c r="R436">
        <f t="shared" si="70"/>
        <v>0</v>
      </c>
      <c r="S436">
        <f t="shared" si="71"/>
        <v>1</v>
      </c>
      <c r="T436">
        <f t="shared" si="72"/>
        <v>0</v>
      </c>
      <c r="U436" t="str">
        <f t="shared" si="73"/>
        <v/>
      </c>
      <c r="V436">
        <f t="shared" si="74"/>
        <v>116.2</v>
      </c>
      <c r="W436" t="str">
        <f t="shared" si="75"/>
        <v/>
      </c>
      <c r="X436">
        <f t="shared" si="69"/>
        <v>1</v>
      </c>
    </row>
    <row r="437" spans="1:24" x14ac:dyDescent="0.25">
      <c r="A437" s="8">
        <v>34</v>
      </c>
      <c r="B437" s="8">
        <v>13</v>
      </c>
      <c r="C437" s="8">
        <v>100</v>
      </c>
      <c r="D437" s="8">
        <v>1</v>
      </c>
      <c r="E437" s="8">
        <v>38.9</v>
      </c>
      <c r="F437" s="8">
        <v>397</v>
      </c>
      <c r="G437" s="8">
        <v>9.1</v>
      </c>
      <c r="H437" s="8">
        <v>2</v>
      </c>
      <c r="I437" s="8">
        <v>13</v>
      </c>
      <c r="J437" s="8">
        <v>54837120</v>
      </c>
      <c r="K437" s="8">
        <v>1</v>
      </c>
      <c r="L437" s="8">
        <v>1</v>
      </c>
      <c r="M437" s="8">
        <v>1</v>
      </c>
      <c r="N437" s="8">
        <v>9</v>
      </c>
      <c r="O437" s="8">
        <v>10</v>
      </c>
      <c r="P437" s="8"/>
      <c r="R437">
        <f t="shared" si="70"/>
        <v>1</v>
      </c>
      <c r="S437">
        <f t="shared" si="71"/>
        <v>0</v>
      </c>
      <c r="T437">
        <f t="shared" si="72"/>
        <v>0</v>
      </c>
      <c r="U437">
        <f t="shared" si="73"/>
        <v>38.9</v>
      </c>
      <c r="V437" t="str">
        <f t="shared" si="74"/>
        <v/>
      </c>
      <c r="W437" t="str">
        <f t="shared" si="75"/>
        <v/>
      </c>
      <c r="X437">
        <f t="shared" si="69"/>
        <v>1</v>
      </c>
    </row>
    <row r="438" spans="1:24" x14ac:dyDescent="0.25">
      <c r="A438" s="8">
        <v>34</v>
      </c>
      <c r="B438" s="8">
        <v>14</v>
      </c>
      <c r="C438" s="8">
        <v>100</v>
      </c>
      <c r="D438" s="8">
        <v>1</v>
      </c>
      <c r="E438" s="8">
        <v>49.9</v>
      </c>
      <c r="F438" s="8">
        <v>2179</v>
      </c>
      <c r="G438" s="8">
        <v>9.8000000000000007</v>
      </c>
      <c r="H438" s="8">
        <v>2</v>
      </c>
      <c r="I438" s="8">
        <v>15</v>
      </c>
      <c r="J438" s="8">
        <v>54837120</v>
      </c>
      <c r="K438" s="8">
        <v>1</v>
      </c>
      <c r="L438" s="8">
        <v>1</v>
      </c>
      <c r="M438" s="8">
        <v>1</v>
      </c>
      <c r="N438" s="8">
        <v>8</v>
      </c>
      <c r="O438" s="8">
        <v>10</v>
      </c>
      <c r="P438" s="8"/>
      <c r="R438">
        <f t="shared" si="70"/>
        <v>1</v>
      </c>
      <c r="S438">
        <f t="shared" si="71"/>
        <v>0</v>
      </c>
      <c r="T438">
        <f t="shared" si="72"/>
        <v>0</v>
      </c>
      <c r="U438">
        <f t="shared" si="73"/>
        <v>49.9</v>
      </c>
      <c r="V438" t="str">
        <f t="shared" si="74"/>
        <v/>
      </c>
      <c r="W438" t="str">
        <f t="shared" si="75"/>
        <v/>
      </c>
      <c r="X438">
        <f t="shared" si="69"/>
        <v>1</v>
      </c>
    </row>
    <row r="439" spans="1:24" x14ac:dyDescent="0.25">
      <c r="A439" s="8">
        <v>34</v>
      </c>
      <c r="B439" s="8">
        <v>15</v>
      </c>
      <c r="C439" s="8">
        <v>43</v>
      </c>
      <c r="D439" s="8">
        <v>1</v>
      </c>
      <c r="E439" s="8">
        <v>63.4</v>
      </c>
      <c r="F439" s="8">
        <v>3481</v>
      </c>
      <c r="G439" s="8">
        <v>11.7</v>
      </c>
      <c r="H439" s="8">
        <v>2</v>
      </c>
      <c r="I439" s="8">
        <v>18</v>
      </c>
      <c r="J439" s="8">
        <v>54837120</v>
      </c>
      <c r="K439" s="8">
        <v>1</v>
      </c>
      <c r="L439" s="8">
        <v>1</v>
      </c>
      <c r="M439" s="8">
        <v>1</v>
      </c>
      <c r="N439" s="8">
        <v>10</v>
      </c>
      <c r="O439" s="8">
        <v>10</v>
      </c>
      <c r="P439" s="8"/>
      <c r="R439">
        <f t="shared" si="70"/>
        <v>1</v>
      </c>
      <c r="S439">
        <f t="shared" si="71"/>
        <v>0</v>
      </c>
      <c r="T439">
        <f t="shared" si="72"/>
        <v>0</v>
      </c>
      <c r="U439">
        <f t="shared" si="73"/>
        <v>63.4</v>
      </c>
      <c r="V439" t="str">
        <f t="shared" si="74"/>
        <v/>
      </c>
      <c r="W439" t="str">
        <f t="shared" si="75"/>
        <v/>
      </c>
      <c r="X439">
        <f t="shared" si="69"/>
        <v>1</v>
      </c>
    </row>
    <row r="440" spans="1:24" x14ac:dyDescent="0.25">
      <c r="A440" s="8">
        <v>34</v>
      </c>
      <c r="B440" s="8">
        <v>16</v>
      </c>
      <c r="C440" s="8">
        <v>100</v>
      </c>
      <c r="D440" s="8">
        <v>1</v>
      </c>
      <c r="E440" s="8">
        <v>28.6</v>
      </c>
      <c r="F440" s="8">
        <v>1348</v>
      </c>
      <c r="G440" s="8">
        <v>12</v>
      </c>
      <c r="H440" s="8">
        <v>2</v>
      </c>
      <c r="I440" s="8">
        <v>18</v>
      </c>
      <c r="J440" s="8">
        <v>54837120</v>
      </c>
      <c r="K440" s="8">
        <v>1</v>
      </c>
      <c r="L440" s="8">
        <v>1</v>
      </c>
      <c r="M440" s="8">
        <v>1</v>
      </c>
      <c r="N440" s="8">
        <v>10</v>
      </c>
      <c r="O440" s="8">
        <v>10</v>
      </c>
      <c r="P440" s="8"/>
      <c r="R440">
        <f t="shared" si="70"/>
        <v>1</v>
      </c>
      <c r="S440">
        <f t="shared" si="71"/>
        <v>0</v>
      </c>
      <c r="T440">
        <f t="shared" si="72"/>
        <v>0</v>
      </c>
      <c r="U440">
        <f t="shared" si="73"/>
        <v>28.6</v>
      </c>
      <c r="V440" t="str">
        <f t="shared" si="74"/>
        <v/>
      </c>
      <c r="W440" t="str">
        <f t="shared" si="75"/>
        <v/>
      </c>
      <c r="X440">
        <f t="shared" si="69"/>
        <v>1</v>
      </c>
    </row>
    <row r="441" spans="1:24" x14ac:dyDescent="0.25">
      <c r="A441" s="8">
        <v>34</v>
      </c>
      <c r="B441" s="8">
        <v>17</v>
      </c>
      <c r="C441" s="8">
        <v>100</v>
      </c>
      <c r="D441" s="8">
        <v>1</v>
      </c>
      <c r="E441" s="8">
        <v>21.5</v>
      </c>
      <c r="F441" s="8">
        <v>2775</v>
      </c>
      <c r="G441" s="8">
        <v>10.199999999999999</v>
      </c>
      <c r="H441" s="8">
        <v>2</v>
      </c>
      <c r="I441" s="8">
        <v>17</v>
      </c>
      <c r="J441" s="8">
        <v>54837120</v>
      </c>
      <c r="K441" s="8">
        <v>1</v>
      </c>
      <c r="L441" s="8">
        <v>1</v>
      </c>
      <c r="M441" s="8">
        <v>1</v>
      </c>
      <c r="N441" s="8">
        <v>9</v>
      </c>
      <c r="O441" s="8">
        <v>10</v>
      </c>
      <c r="P441" s="8"/>
      <c r="R441">
        <f t="shared" si="70"/>
        <v>1</v>
      </c>
      <c r="S441">
        <f t="shared" si="71"/>
        <v>0</v>
      </c>
      <c r="T441">
        <f t="shared" si="72"/>
        <v>0</v>
      </c>
      <c r="U441">
        <f t="shared" si="73"/>
        <v>21.5</v>
      </c>
      <c r="V441" t="str">
        <f t="shared" si="74"/>
        <v/>
      </c>
      <c r="W441" t="str">
        <f t="shared" si="75"/>
        <v/>
      </c>
      <c r="X441">
        <f t="shared" si="69"/>
        <v>1</v>
      </c>
    </row>
    <row r="442" spans="1:24" x14ac:dyDescent="0.25">
      <c r="A442" s="8">
        <v>34</v>
      </c>
      <c r="B442" s="8">
        <v>18</v>
      </c>
      <c r="C442" s="8">
        <v>70</v>
      </c>
      <c r="D442" s="8">
        <v>1</v>
      </c>
      <c r="E442" s="8">
        <v>39.700000000000003</v>
      </c>
      <c r="F442" s="8">
        <v>2085</v>
      </c>
      <c r="G442" s="8">
        <v>10.1</v>
      </c>
      <c r="H442" s="8">
        <v>2</v>
      </c>
      <c r="I442" s="8">
        <v>15</v>
      </c>
      <c r="J442" s="8">
        <v>54837120</v>
      </c>
      <c r="K442" s="8">
        <v>2</v>
      </c>
      <c r="L442" s="8">
        <v>2</v>
      </c>
      <c r="M442" s="8">
        <v>1</v>
      </c>
      <c r="N442" s="8">
        <v>10</v>
      </c>
      <c r="O442" s="8">
        <v>10</v>
      </c>
      <c r="P442" s="8"/>
      <c r="R442">
        <f t="shared" si="70"/>
        <v>1</v>
      </c>
      <c r="S442">
        <f t="shared" si="71"/>
        <v>0</v>
      </c>
      <c r="T442">
        <f t="shared" si="72"/>
        <v>0</v>
      </c>
      <c r="U442">
        <f t="shared" si="73"/>
        <v>39.700000000000003</v>
      </c>
      <c r="V442" t="str">
        <f t="shared" si="74"/>
        <v/>
      </c>
      <c r="W442" t="str">
        <f t="shared" si="75"/>
        <v/>
      </c>
      <c r="X442">
        <f t="shared" si="69"/>
        <v>1</v>
      </c>
    </row>
    <row r="443" spans="1:24" x14ac:dyDescent="0.25">
      <c r="A443" s="8">
        <v>34</v>
      </c>
      <c r="B443" s="8">
        <v>19</v>
      </c>
      <c r="C443" s="8">
        <v>100</v>
      </c>
      <c r="D443" s="8">
        <v>1</v>
      </c>
      <c r="E443" s="8">
        <v>58.1</v>
      </c>
      <c r="F443" s="8">
        <v>3282</v>
      </c>
      <c r="G443" s="8">
        <v>11.1</v>
      </c>
      <c r="H443" s="8">
        <v>2</v>
      </c>
      <c r="I443" s="8">
        <v>17</v>
      </c>
      <c r="J443" s="8">
        <v>54837120</v>
      </c>
      <c r="K443" s="8">
        <v>3</v>
      </c>
      <c r="L443" s="8">
        <v>3</v>
      </c>
      <c r="M443" s="8">
        <v>1</v>
      </c>
      <c r="N443" s="8">
        <v>9</v>
      </c>
      <c r="O443" s="8">
        <v>10</v>
      </c>
      <c r="P443" s="8"/>
      <c r="R443">
        <f t="shared" si="70"/>
        <v>1</v>
      </c>
      <c r="S443">
        <f t="shared" si="71"/>
        <v>0</v>
      </c>
      <c r="T443">
        <f t="shared" si="72"/>
        <v>0</v>
      </c>
      <c r="U443">
        <f t="shared" si="73"/>
        <v>58.1</v>
      </c>
      <c r="V443" t="str">
        <f t="shared" si="74"/>
        <v/>
      </c>
      <c r="W443" t="str">
        <f t="shared" si="75"/>
        <v/>
      </c>
      <c r="X443">
        <f t="shared" si="69"/>
        <v>1</v>
      </c>
    </row>
    <row r="444" spans="1:24" x14ac:dyDescent="0.25">
      <c r="A444" s="8">
        <v>34</v>
      </c>
      <c r="B444" s="8">
        <v>20</v>
      </c>
      <c r="C444" s="8">
        <v>100</v>
      </c>
      <c r="D444" s="8">
        <v>1</v>
      </c>
      <c r="E444" s="8">
        <v>51</v>
      </c>
      <c r="F444" s="8">
        <v>1824</v>
      </c>
      <c r="G444" s="8">
        <v>9</v>
      </c>
      <c r="H444" s="8">
        <v>2</v>
      </c>
      <c r="I444" s="8">
        <v>14</v>
      </c>
      <c r="J444" s="8">
        <v>54837120</v>
      </c>
      <c r="K444" s="8">
        <v>3</v>
      </c>
      <c r="L444" s="8">
        <v>3</v>
      </c>
      <c r="M444" s="8">
        <v>3</v>
      </c>
      <c r="N444" s="8">
        <v>9</v>
      </c>
      <c r="O444" s="8">
        <v>10</v>
      </c>
      <c r="P444" s="8"/>
      <c r="R444">
        <f t="shared" si="70"/>
        <v>1</v>
      </c>
      <c r="S444">
        <f t="shared" si="71"/>
        <v>0</v>
      </c>
      <c r="T444">
        <f t="shared" si="72"/>
        <v>0</v>
      </c>
      <c r="U444">
        <f t="shared" si="73"/>
        <v>51</v>
      </c>
      <c r="V444" t="str">
        <f t="shared" si="74"/>
        <v/>
      </c>
      <c r="W444" t="str">
        <f t="shared" si="75"/>
        <v/>
      </c>
      <c r="X444">
        <f t="shared" si="69"/>
        <v>1</v>
      </c>
    </row>
    <row r="445" spans="1:24" x14ac:dyDescent="0.25">
      <c r="A445" s="8">
        <v>34</v>
      </c>
      <c r="B445" s="8">
        <v>21</v>
      </c>
      <c r="C445" s="8">
        <v>70</v>
      </c>
      <c r="D445" s="8">
        <v>1</v>
      </c>
      <c r="E445" s="8">
        <v>24.5</v>
      </c>
      <c r="F445" s="8">
        <v>544</v>
      </c>
      <c r="G445" s="8">
        <v>6.5</v>
      </c>
      <c r="H445" s="8">
        <v>2</v>
      </c>
      <c r="I445" s="8">
        <v>9</v>
      </c>
      <c r="J445" s="8">
        <v>54837120</v>
      </c>
      <c r="K445" s="8">
        <v>1</v>
      </c>
      <c r="L445" s="8">
        <v>1</v>
      </c>
      <c r="M445" s="8">
        <v>1</v>
      </c>
      <c r="N445" s="8">
        <v>7</v>
      </c>
      <c r="O445" s="8">
        <v>10</v>
      </c>
      <c r="P445" s="8"/>
      <c r="R445">
        <f t="shared" si="70"/>
        <v>1</v>
      </c>
      <c r="S445">
        <f t="shared" si="71"/>
        <v>0</v>
      </c>
      <c r="T445">
        <f t="shared" si="72"/>
        <v>0</v>
      </c>
      <c r="U445">
        <f t="shared" si="73"/>
        <v>24.5</v>
      </c>
      <c r="V445" t="str">
        <f t="shared" si="74"/>
        <v/>
      </c>
      <c r="W445" t="str">
        <f t="shared" si="75"/>
        <v/>
      </c>
      <c r="X445">
        <f t="shared" si="69"/>
        <v>1</v>
      </c>
    </row>
    <row r="446" spans="1:24" x14ac:dyDescent="0.25">
      <c r="A446" s="8">
        <v>34</v>
      </c>
      <c r="B446" s="8">
        <v>22</v>
      </c>
      <c r="C446" s="8">
        <v>100</v>
      </c>
      <c r="D446" s="8">
        <v>1</v>
      </c>
      <c r="E446" s="8">
        <v>38.799999999999997</v>
      </c>
      <c r="F446" s="8">
        <v>818</v>
      </c>
      <c r="G446" s="8">
        <v>8.4</v>
      </c>
      <c r="H446" s="8">
        <v>2</v>
      </c>
      <c r="I446" s="8">
        <v>12</v>
      </c>
      <c r="J446" s="8">
        <v>54837120</v>
      </c>
      <c r="K446" s="8">
        <v>1</v>
      </c>
      <c r="L446" s="8">
        <v>1</v>
      </c>
      <c r="M446" s="8">
        <v>1</v>
      </c>
      <c r="N446" s="8">
        <v>8</v>
      </c>
      <c r="O446" s="8">
        <v>10</v>
      </c>
      <c r="P446" s="8"/>
      <c r="R446">
        <f t="shared" si="70"/>
        <v>1</v>
      </c>
      <c r="S446">
        <f t="shared" si="71"/>
        <v>0</v>
      </c>
      <c r="T446">
        <f t="shared" si="72"/>
        <v>0</v>
      </c>
      <c r="U446">
        <f t="shared" si="73"/>
        <v>38.799999999999997</v>
      </c>
      <c r="V446" t="str">
        <f t="shared" si="74"/>
        <v/>
      </c>
      <c r="W446" t="str">
        <f t="shared" si="75"/>
        <v/>
      </c>
      <c r="X446">
        <f t="shared" si="69"/>
        <v>1</v>
      </c>
    </row>
    <row r="447" spans="1:24" x14ac:dyDescent="0.25">
      <c r="A447" s="8">
        <v>34</v>
      </c>
      <c r="B447" s="8">
        <v>23</v>
      </c>
      <c r="C447" s="8">
        <v>100</v>
      </c>
      <c r="D447" s="8">
        <v>1</v>
      </c>
      <c r="E447" s="8">
        <v>14.3</v>
      </c>
      <c r="F447" s="8">
        <v>1954</v>
      </c>
      <c r="G447" s="8">
        <v>9.1999999999999993</v>
      </c>
      <c r="H447" s="8">
        <v>2</v>
      </c>
      <c r="I447" s="8">
        <v>12</v>
      </c>
      <c r="J447" s="8">
        <v>54837120</v>
      </c>
      <c r="K447" s="8">
        <v>2</v>
      </c>
      <c r="L447" s="8">
        <v>2</v>
      </c>
      <c r="M447" s="8">
        <v>2</v>
      </c>
      <c r="N447" s="8">
        <v>9</v>
      </c>
      <c r="O447" s="8">
        <v>10</v>
      </c>
      <c r="P447" s="8"/>
      <c r="R447">
        <f t="shared" si="70"/>
        <v>1</v>
      </c>
      <c r="S447">
        <f t="shared" si="71"/>
        <v>0</v>
      </c>
      <c r="T447">
        <f t="shared" si="72"/>
        <v>0</v>
      </c>
      <c r="U447">
        <f t="shared" si="73"/>
        <v>14.3</v>
      </c>
      <c r="V447" t="str">
        <f t="shared" si="74"/>
        <v/>
      </c>
      <c r="W447" t="str">
        <f t="shared" si="75"/>
        <v/>
      </c>
      <c r="X447">
        <f t="shared" si="69"/>
        <v>1</v>
      </c>
    </row>
    <row r="448" spans="1:24" x14ac:dyDescent="0.25">
      <c r="A448" s="8">
        <v>34</v>
      </c>
      <c r="B448" s="8">
        <v>24</v>
      </c>
      <c r="C448" s="8">
        <v>100</v>
      </c>
      <c r="D448" s="8">
        <v>1</v>
      </c>
      <c r="E448" s="8">
        <v>54.2</v>
      </c>
      <c r="F448" s="8">
        <v>2138</v>
      </c>
      <c r="G448" s="8">
        <v>11</v>
      </c>
      <c r="H448" s="8">
        <v>2</v>
      </c>
      <c r="I448" s="8">
        <v>15</v>
      </c>
      <c r="J448" s="8">
        <v>54837120</v>
      </c>
      <c r="K448" s="8">
        <v>1</v>
      </c>
      <c r="L448" s="8">
        <v>1</v>
      </c>
      <c r="M448" s="8">
        <v>1</v>
      </c>
      <c r="N448" s="8">
        <v>9</v>
      </c>
      <c r="O448" s="8">
        <v>10</v>
      </c>
      <c r="P448" s="8"/>
      <c r="R448">
        <f t="shared" si="70"/>
        <v>1</v>
      </c>
      <c r="S448">
        <f t="shared" si="71"/>
        <v>0</v>
      </c>
      <c r="T448">
        <f t="shared" si="72"/>
        <v>0</v>
      </c>
      <c r="U448">
        <f t="shared" si="73"/>
        <v>54.2</v>
      </c>
      <c r="V448" t="str">
        <f t="shared" si="74"/>
        <v/>
      </c>
      <c r="W448" t="str">
        <f t="shared" si="75"/>
        <v/>
      </c>
      <c r="X448">
        <f t="shared" si="69"/>
        <v>1</v>
      </c>
    </row>
    <row r="449" spans="1:24" x14ac:dyDescent="0.25">
      <c r="A449" s="8">
        <v>34</v>
      </c>
      <c r="B449" s="8">
        <v>25</v>
      </c>
      <c r="C449" s="8">
        <v>100</v>
      </c>
      <c r="D449" s="8">
        <v>1</v>
      </c>
      <c r="E449" s="8">
        <v>36.799999999999997</v>
      </c>
      <c r="F449" s="8">
        <v>10005</v>
      </c>
      <c r="G449" s="8">
        <v>12</v>
      </c>
      <c r="H449" s="8">
        <v>2</v>
      </c>
      <c r="I449" s="8">
        <v>17</v>
      </c>
      <c r="J449" s="8">
        <v>54837120</v>
      </c>
      <c r="K449" s="8">
        <v>1</v>
      </c>
      <c r="L449" s="8">
        <v>1</v>
      </c>
      <c r="M449" s="8">
        <v>1</v>
      </c>
      <c r="N449" s="8">
        <v>10</v>
      </c>
      <c r="O449" s="8">
        <v>10</v>
      </c>
      <c r="P449" s="8"/>
      <c r="R449">
        <f t="shared" si="70"/>
        <v>1</v>
      </c>
      <c r="S449">
        <f t="shared" si="71"/>
        <v>0</v>
      </c>
      <c r="T449">
        <f t="shared" si="72"/>
        <v>0</v>
      </c>
      <c r="U449">
        <f t="shared" si="73"/>
        <v>36.799999999999997</v>
      </c>
      <c r="V449" t="str">
        <f t="shared" si="74"/>
        <v/>
      </c>
      <c r="W449" t="str">
        <f t="shared" si="75"/>
        <v/>
      </c>
      <c r="X449">
        <f t="shared" si="69"/>
        <v>1</v>
      </c>
    </row>
    <row r="450" spans="1:24" x14ac:dyDescent="0.25">
      <c r="A450" s="8">
        <v>34</v>
      </c>
      <c r="B450" s="8">
        <v>26</v>
      </c>
      <c r="C450" s="8">
        <v>100</v>
      </c>
      <c r="D450" s="8">
        <v>1</v>
      </c>
      <c r="E450" s="8">
        <v>35.799999999999997</v>
      </c>
      <c r="F450" s="8">
        <v>3124</v>
      </c>
      <c r="G450" s="8">
        <v>8.3000000000000007</v>
      </c>
      <c r="H450" s="8">
        <v>2</v>
      </c>
      <c r="I450" s="8">
        <v>11</v>
      </c>
      <c r="J450" s="8">
        <v>54837120</v>
      </c>
      <c r="K450" s="8">
        <v>3</v>
      </c>
      <c r="L450" s="8">
        <v>3</v>
      </c>
      <c r="M450" s="8">
        <v>2</v>
      </c>
      <c r="N450" s="8">
        <v>8</v>
      </c>
      <c r="O450" s="8">
        <v>10</v>
      </c>
      <c r="P450" s="8"/>
      <c r="R450">
        <f t="shared" si="70"/>
        <v>1</v>
      </c>
      <c r="S450">
        <f t="shared" si="71"/>
        <v>0</v>
      </c>
      <c r="T450">
        <f t="shared" si="72"/>
        <v>0</v>
      </c>
      <c r="U450">
        <f t="shared" si="73"/>
        <v>35.799999999999997</v>
      </c>
      <c r="V450" t="str">
        <f t="shared" si="74"/>
        <v/>
      </c>
      <c r="W450" t="str">
        <f t="shared" si="75"/>
        <v/>
      </c>
      <c r="X450">
        <f t="shared" si="69"/>
        <v>1</v>
      </c>
    </row>
    <row r="451" spans="1:24" x14ac:dyDescent="0.25">
      <c r="A451" s="8">
        <v>34</v>
      </c>
      <c r="B451" s="8">
        <v>27</v>
      </c>
      <c r="C451" s="8">
        <v>100</v>
      </c>
      <c r="D451" s="8">
        <v>1</v>
      </c>
      <c r="E451" s="8">
        <v>57.2</v>
      </c>
      <c r="F451" s="8">
        <v>4519</v>
      </c>
      <c r="G451" s="8">
        <v>12.4</v>
      </c>
      <c r="H451" s="8">
        <v>3</v>
      </c>
      <c r="I451" s="8">
        <v>18</v>
      </c>
      <c r="J451" s="8">
        <v>54837120</v>
      </c>
      <c r="K451" s="8">
        <v>1</v>
      </c>
      <c r="L451" s="8">
        <v>1</v>
      </c>
      <c r="M451" s="8">
        <v>1</v>
      </c>
      <c r="N451" s="8">
        <v>9</v>
      </c>
      <c r="O451" s="8">
        <v>10</v>
      </c>
      <c r="P451" s="8"/>
      <c r="R451">
        <f t="shared" si="70"/>
        <v>1</v>
      </c>
      <c r="S451">
        <f t="shared" si="71"/>
        <v>0</v>
      </c>
      <c r="T451">
        <f t="shared" si="72"/>
        <v>0</v>
      </c>
      <c r="U451">
        <f t="shared" si="73"/>
        <v>57.2</v>
      </c>
      <c r="V451" t="str">
        <f t="shared" si="74"/>
        <v/>
      </c>
      <c r="W451" t="str">
        <f t="shared" si="75"/>
        <v/>
      </c>
      <c r="X451">
        <f t="shared" si="69"/>
        <v>1</v>
      </c>
    </row>
    <row r="452" spans="1:24" x14ac:dyDescent="0.25">
      <c r="A452" s="8">
        <v>34</v>
      </c>
      <c r="B452" s="8">
        <v>28</v>
      </c>
      <c r="C452" s="8">
        <v>100</v>
      </c>
      <c r="D452" s="8">
        <v>1</v>
      </c>
      <c r="E452" s="8">
        <v>21.4</v>
      </c>
      <c r="F452" s="8">
        <v>1222</v>
      </c>
      <c r="G452" s="8">
        <v>8.8000000000000007</v>
      </c>
      <c r="H452" s="8">
        <v>2</v>
      </c>
      <c r="I452" s="8">
        <v>13</v>
      </c>
      <c r="J452" s="8">
        <v>54837120</v>
      </c>
      <c r="K452" s="8">
        <v>1</v>
      </c>
      <c r="L452" s="8">
        <v>1</v>
      </c>
      <c r="M452" s="8">
        <v>1</v>
      </c>
      <c r="N452" s="8">
        <v>9</v>
      </c>
      <c r="O452" s="8">
        <v>10</v>
      </c>
      <c r="P452" s="8"/>
      <c r="R452">
        <f t="shared" si="70"/>
        <v>1</v>
      </c>
      <c r="S452">
        <f t="shared" si="71"/>
        <v>0</v>
      </c>
      <c r="T452">
        <f t="shared" si="72"/>
        <v>0</v>
      </c>
      <c r="U452">
        <f t="shared" si="73"/>
        <v>21.4</v>
      </c>
      <c r="V452" t="str">
        <f t="shared" si="74"/>
        <v/>
      </c>
      <c r="W452" t="str">
        <f t="shared" si="75"/>
        <v/>
      </c>
      <c r="X452">
        <f t="shared" si="69"/>
        <v>1</v>
      </c>
    </row>
    <row r="453" spans="1:24" x14ac:dyDescent="0.25">
      <c r="A453" s="8">
        <v>34</v>
      </c>
      <c r="B453" s="8">
        <v>29</v>
      </c>
      <c r="C453" s="8">
        <v>94</v>
      </c>
      <c r="D453" s="8">
        <v>1</v>
      </c>
      <c r="E453" s="8">
        <v>52.1</v>
      </c>
      <c r="F453" s="8">
        <v>884</v>
      </c>
      <c r="G453" s="8">
        <v>9.3000000000000007</v>
      </c>
      <c r="H453" s="8">
        <v>2</v>
      </c>
      <c r="I453" s="8">
        <v>16</v>
      </c>
      <c r="J453" s="8">
        <v>54837120</v>
      </c>
      <c r="K453" s="8">
        <v>3</v>
      </c>
      <c r="L453" s="8">
        <v>3</v>
      </c>
      <c r="M453" s="8">
        <v>1</v>
      </c>
      <c r="N453" s="8">
        <v>10</v>
      </c>
      <c r="O453" s="8">
        <v>10</v>
      </c>
      <c r="P453" s="8"/>
      <c r="R453">
        <f t="shared" si="70"/>
        <v>1</v>
      </c>
      <c r="S453">
        <f t="shared" si="71"/>
        <v>0</v>
      </c>
      <c r="T453">
        <f t="shared" si="72"/>
        <v>0</v>
      </c>
      <c r="U453">
        <f t="shared" si="73"/>
        <v>52.1</v>
      </c>
      <c r="V453" t="str">
        <f t="shared" si="74"/>
        <v/>
      </c>
      <c r="W453" t="str">
        <f t="shared" si="75"/>
        <v/>
      </c>
      <c r="X453">
        <f t="shared" ref="X453:X483" si="76">IF(M453&gt;0,1,0)</f>
        <v>1</v>
      </c>
    </row>
    <row r="454" spans="1:24" x14ac:dyDescent="0.25">
      <c r="A454" s="8">
        <v>35</v>
      </c>
      <c r="B454" s="8">
        <v>0</v>
      </c>
      <c r="C454" s="8">
        <v>100</v>
      </c>
      <c r="D454" s="8">
        <v>1</v>
      </c>
      <c r="E454" s="8">
        <v>16.3</v>
      </c>
      <c r="F454" s="8">
        <v>335</v>
      </c>
      <c r="G454" s="8">
        <v>7.3</v>
      </c>
      <c r="H454" s="8">
        <v>2</v>
      </c>
      <c r="I454" s="8">
        <v>12</v>
      </c>
      <c r="J454" s="8">
        <v>54837120</v>
      </c>
      <c r="K454" s="8">
        <v>1</v>
      </c>
      <c r="L454" s="8">
        <v>1</v>
      </c>
      <c r="M454" s="8">
        <v>1</v>
      </c>
      <c r="N454" s="8">
        <v>8</v>
      </c>
      <c r="O454" s="8">
        <v>10</v>
      </c>
      <c r="P454" s="8"/>
      <c r="R454">
        <f t="shared" si="70"/>
        <v>1</v>
      </c>
      <c r="S454">
        <f t="shared" si="71"/>
        <v>0</v>
      </c>
      <c r="T454">
        <f t="shared" si="72"/>
        <v>0</v>
      </c>
      <c r="U454">
        <f t="shared" si="73"/>
        <v>16.3</v>
      </c>
      <c r="V454" t="str">
        <f t="shared" si="74"/>
        <v/>
      </c>
      <c r="W454" t="str">
        <f t="shared" si="75"/>
        <v/>
      </c>
      <c r="X454">
        <f t="shared" si="76"/>
        <v>1</v>
      </c>
    </row>
    <row r="455" spans="1:24" x14ac:dyDescent="0.25">
      <c r="A455" s="8">
        <v>35</v>
      </c>
      <c r="B455" s="8">
        <v>1</v>
      </c>
      <c r="C455" s="8">
        <v>100</v>
      </c>
      <c r="D455" s="8">
        <v>1</v>
      </c>
      <c r="E455" s="8">
        <v>22.4</v>
      </c>
      <c r="F455" s="8">
        <v>10820</v>
      </c>
      <c r="G455" s="8">
        <v>14</v>
      </c>
      <c r="H455" s="8">
        <v>2</v>
      </c>
      <c r="I455" s="8">
        <v>20</v>
      </c>
      <c r="J455" s="8">
        <v>54837120</v>
      </c>
      <c r="K455" s="8">
        <v>1</v>
      </c>
      <c r="L455" s="8">
        <v>1</v>
      </c>
      <c r="M455" s="8">
        <v>1</v>
      </c>
      <c r="N455" s="8">
        <v>8</v>
      </c>
      <c r="O455" s="8">
        <v>10</v>
      </c>
      <c r="P455" s="8"/>
      <c r="R455">
        <f t="shared" si="70"/>
        <v>1</v>
      </c>
      <c r="S455">
        <f t="shared" si="71"/>
        <v>0</v>
      </c>
      <c r="T455">
        <f t="shared" si="72"/>
        <v>0</v>
      </c>
      <c r="U455">
        <f t="shared" si="73"/>
        <v>22.4</v>
      </c>
      <c r="V455" t="str">
        <f t="shared" si="74"/>
        <v/>
      </c>
      <c r="W455" t="str">
        <f t="shared" si="75"/>
        <v/>
      </c>
      <c r="X455">
        <f t="shared" si="76"/>
        <v>1</v>
      </c>
    </row>
    <row r="456" spans="1:24" x14ac:dyDescent="0.25">
      <c r="A456" s="8">
        <v>35</v>
      </c>
      <c r="B456" s="8">
        <v>2</v>
      </c>
      <c r="C456" s="8">
        <v>100</v>
      </c>
      <c r="D456" s="8">
        <v>1</v>
      </c>
      <c r="E456" s="8">
        <v>37.700000000000003</v>
      </c>
      <c r="F456" s="8">
        <v>501</v>
      </c>
      <c r="G456" s="8">
        <v>7.2</v>
      </c>
      <c r="H456" s="8">
        <v>2</v>
      </c>
      <c r="I456" s="8">
        <v>10</v>
      </c>
      <c r="J456" s="8">
        <v>54837120</v>
      </c>
      <c r="K456" s="8">
        <v>2</v>
      </c>
      <c r="L456" s="8">
        <v>2</v>
      </c>
      <c r="M456" s="8">
        <v>1</v>
      </c>
      <c r="N456" s="8">
        <v>7</v>
      </c>
      <c r="O456" s="8">
        <v>10</v>
      </c>
      <c r="P456" s="8"/>
      <c r="R456">
        <f t="shared" si="70"/>
        <v>1</v>
      </c>
      <c r="S456">
        <f t="shared" si="71"/>
        <v>0</v>
      </c>
      <c r="T456">
        <f t="shared" si="72"/>
        <v>0</v>
      </c>
      <c r="U456">
        <f t="shared" si="73"/>
        <v>37.700000000000003</v>
      </c>
      <c r="V456" t="str">
        <f t="shared" si="74"/>
        <v/>
      </c>
      <c r="W456" t="str">
        <f t="shared" si="75"/>
        <v/>
      </c>
      <c r="X456">
        <f t="shared" si="76"/>
        <v>1</v>
      </c>
    </row>
    <row r="457" spans="1:24" x14ac:dyDescent="0.25">
      <c r="A457" s="8">
        <v>35</v>
      </c>
      <c r="B457" s="8">
        <v>3</v>
      </c>
      <c r="C457" s="8">
        <v>100</v>
      </c>
      <c r="D457" s="8">
        <v>1</v>
      </c>
      <c r="E457" s="8">
        <v>23.4</v>
      </c>
      <c r="F457" s="8">
        <v>2258</v>
      </c>
      <c r="G457" s="8">
        <v>8.1</v>
      </c>
      <c r="H457" s="8">
        <v>2</v>
      </c>
      <c r="I457" s="8">
        <v>12</v>
      </c>
      <c r="J457" s="8">
        <v>54837120</v>
      </c>
      <c r="K457" s="8">
        <v>1</v>
      </c>
      <c r="L457" s="8">
        <v>1</v>
      </c>
      <c r="M457" s="8">
        <v>1</v>
      </c>
      <c r="N457" s="8">
        <v>8</v>
      </c>
      <c r="O457" s="8">
        <v>10</v>
      </c>
      <c r="P457" s="8"/>
      <c r="R457">
        <f t="shared" si="70"/>
        <v>1</v>
      </c>
      <c r="S457">
        <f t="shared" si="71"/>
        <v>0</v>
      </c>
      <c r="T457">
        <f t="shared" si="72"/>
        <v>0</v>
      </c>
      <c r="U457">
        <f t="shared" si="73"/>
        <v>23.4</v>
      </c>
      <c r="V457" t="str">
        <f t="shared" si="74"/>
        <v/>
      </c>
      <c r="W457" t="str">
        <f t="shared" si="75"/>
        <v/>
      </c>
      <c r="X457">
        <f t="shared" si="76"/>
        <v>1</v>
      </c>
    </row>
    <row r="458" spans="1:24" x14ac:dyDescent="0.25">
      <c r="A458" s="8">
        <v>35</v>
      </c>
      <c r="B458" s="8">
        <v>4</v>
      </c>
      <c r="C458" s="8">
        <v>100</v>
      </c>
      <c r="D458" s="8">
        <v>2</v>
      </c>
      <c r="E458" s="8">
        <v>69.5</v>
      </c>
      <c r="F458" s="8">
        <v>1765</v>
      </c>
      <c r="G458" s="8">
        <v>11.6</v>
      </c>
      <c r="H458" s="8">
        <v>2</v>
      </c>
      <c r="I458" s="8">
        <v>16</v>
      </c>
      <c r="J458" s="8">
        <v>109674240</v>
      </c>
      <c r="K458" s="8">
        <v>1</v>
      </c>
      <c r="L458" s="8">
        <v>1</v>
      </c>
      <c r="M458" s="8">
        <v>1</v>
      </c>
      <c r="N458" s="8">
        <v>10</v>
      </c>
      <c r="O458" s="8">
        <v>10</v>
      </c>
      <c r="P458" s="8"/>
      <c r="R458">
        <f t="shared" si="70"/>
        <v>0</v>
      </c>
      <c r="S458">
        <f t="shared" si="71"/>
        <v>1</v>
      </c>
      <c r="T458">
        <f t="shared" si="72"/>
        <v>0</v>
      </c>
      <c r="U458" t="str">
        <f t="shared" si="73"/>
        <v/>
      </c>
      <c r="V458">
        <f t="shared" si="74"/>
        <v>69.5</v>
      </c>
      <c r="W458" t="str">
        <f t="shared" si="75"/>
        <v/>
      </c>
      <c r="X458">
        <f t="shared" si="76"/>
        <v>1</v>
      </c>
    </row>
    <row r="459" spans="1:24" x14ac:dyDescent="0.25">
      <c r="A459" s="8">
        <v>35</v>
      </c>
      <c r="B459" s="8">
        <v>5</v>
      </c>
      <c r="C459" s="8">
        <v>75</v>
      </c>
      <c r="D459" s="8">
        <v>1</v>
      </c>
      <c r="E459" s="8">
        <v>21.4</v>
      </c>
      <c r="F459" s="8">
        <v>4234</v>
      </c>
      <c r="G459" s="8">
        <v>9.6</v>
      </c>
      <c r="H459" s="8">
        <v>2</v>
      </c>
      <c r="I459" s="8">
        <v>14</v>
      </c>
      <c r="J459" s="8">
        <v>54837120</v>
      </c>
      <c r="K459" s="8">
        <v>1</v>
      </c>
      <c r="L459" s="8">
        <v>1</v>
      </c>
      <c r="M459" s="8">
        <v>1</v>
      </c>
      <c r="N459" s="8">
        <v>8</v>
      </c>
      <c r="O459" s="8">
        <v>10</v>
      </c>
      <c r="P459" s="8"/>
      <c r="R459">
        <f t="shared" si="70"/>
        <v>1</v>
      </c>
      <c r="S459">
        <f t="shared" si="71"/>
        <v>0</v>
      </c>
      <c r="T459">
        <f t="shared" si="72"/>
        <v>0</v>
      </c>
      <c r="U459">
        <f t="shared" si="73"/>
        <v>21.4</v>
      </c>
      <c r="V459" t="str">
        <f t="shared" si="74"/>
        <v/>
      </c>
      <c r="W459" t="str">
        <f t="shared" si="75"/>
        <v/>
      </c>
      <c r="X459">
        <f t="shared" si="76"/>
        <v>1</v>
      </c>
    </row>
    <row r="460" spans="1:24" x14ac:dyDescent="0.25">
      <c r="A460" s="8">
        <v>35</v>
      </c>
      <c r="B460" s="8">
        <v>6</v>
      </c>
      <c r="C460" s="8">
        <v>100</v>
      </c>
      <c r="D460" s="8">
        <v>1</v>
      </c>
      <c r="E460" s="8">
        <v>37.799999999999997</v>
      </c>
      <c r="F460" s="8">
        <v>719</v>
      </c>
      <c r="G460" s="8">
        <v>6.5</v>
      </c>
      <c r="H460" s="8">
        <v>2</v>
      </c>
      <c r="I460" s="8">
        <v>10</v>
      </c>
      <c r="J460" s="8">
        <v>54837120</v>
      </c>
      <c r="K460" s="8">
        <v>1</v>
      </c>
      <c r="L460" s="8">
        <v>1</v>
      </c>
      <c r="M460" s="8">
        <v>1</v>
      </c>
      <c r="N460" s="8">
        <v>7</v>
      </c>
      <c r="O460" s="8">
        <v>10</v>
      </c>
      <c r="P460" s="8"/>
      <c r="R460">
        <f t="shared" si="70"/>
        <v>1</v>
      </c>
      <c r="S460">
        <f t="shared" si="71"/>
        <v>0</v>
      </c>
      <c r="T460">
        <f t="shared" si="72"/>
        <v>0</v>
      </c>
      <c r="U460">
        <f t="shared" si="73"/>
        <v>37.799999999999997</v>
      </c>
      <c r="V460" t="str">
        <f t="shared" si="74"/>
        <v/>
      </c>
      <c r="W460" t="str">
        <f t="shared" si="75"/>
        <v/>
      </c>
      <c r="X460">
        <f t="shared" si="76"/>
        <v>1</v>
      </c>
    </row>
    <row r="461" spans="1:24" x14ac:dyDescent="0.25">
      <c r="A461" s="8">
        <v>35</v>
      </c>
      <c r="B461" s="8">
        <v>7</v>
      </c>
      <c r="C461" s="8">
        <v>100</v>
      </c>
      <c r="D461" s="8">
        <v>3</v>
      </c>
      <c r="E461" s="8">
        <v>520.6</v>
      </c>
      <c r="F461" s="8">
        <v>5567</v>
      </c>
      <c r="G461" s="8">
        <v>13.4</v>
      </c>
      <c r="H461" s="8">
        <v>2</v>
      </c>
      <c r="I461" s="8">
        <v>20</v>
      </c>
      <c r="J461" s="8">
        <v>1535439360</v>
      </c>
      <c r="K461" s="8">
        <v>1</v>
      </c>
      <c r="L461" s="8">
        <v>1</v>
      </c>
      <c r="M461" s="8">
        <v>1</v>
      </c>
      <c r="N461" s="8">
        <v>9</v>
      </c>
      <c r="O461" s="8">
        <v>10</v>
      </c>
      <c r="P461" s="8"/>
      <c r="R461">
        <f t="shared" si="70"/>
        <v>0</v>
      </c>
      <c r="S461">
        <f t="shared" si="71"/>
        <v>0</v>
      </c>
      <c r="T461">
        <f t="shared" si="72"/>
        <v>1</v>
      </c>
      <c r="U461" t="str">
        <f t="shared" si="73"/>
        <v/>
      </c>
      <c r="V461" t="str">
        <f t="shared" si="74"/>
        <v/>
      </c>
      <c r="W461">
        <f t="shared" si="75"/>
        <v>520.6</v>
      </c>
      <c r="X461">
        <f t="shared" si="76"/>
        <v>1</v>
      </c>
    </row>
    <row r="462" spans="1:24" x14ac:dyDescent="0.25">
      <c r="A462" s="8">
        <v>35</v>
      </c>
      <c r="B462" s="8">
        <v>8</v>
      </c>
      <c r="C462" s="8">
        <v>86</v>
      </c>
      <c r="D462" s="8">
        <v>1</v>
      </c>
      <c r="E462" s="8">
        <v>71.400000000000006</v>
      </c>
      <c r="F462" s="8">
        <v>10128</v>
      </c>
      <c r="G462" s="8">
        <v>13.2</v>
      </c>
      <c r="H462" s="8">
        <v>3</v>
      </c>
      <c r="I462" s="8">
        <v>20</v>
      </c>
      <c r="J462" s="8">
        <v>54837120</v>
      </c>
      <c r="K462" s="8">
        <v>1</v>
      </c>
      <c r="L462" s="8">
        <v>1</v>
      </c>
      <c r="M462" s="8">
        <v>1</v>
      </c>
      <c r="N462" s="8">
        <v>10</v>
      </c>
      <c r="O462" s="8">
        <v>10</v>
      </c>
      <c r="P462" s="8"/>
      <c r="R462">
        <f t="shared" si="70"/>
        <v>1</v>
      </c>
      <c r="S462">
        <f t="shared" si="71"/>
        <v>0</v>
      </c>
      <c r="T462">
        <f t="shared" si="72"/>
        <v>0</v>
      </c>
      <c r="U462">
        <f t="shared" si="73"/>
        <v>71.400000000000006</v>
      </c>
      <c r="V462" t="str">
        <f t="shared" si="74"/>
        <v/>
      </c>
      <c r="W462" t="str">
        <f t="shared" si="75"/>
        <v/>
      </c>
      <c r="X462">
        <f t="shared" si="76"/>
        <v>1</v>
      </c>
    </row>
    <row r="463" spans="1:24" x14ac:dyDescent="0.25">
      <c r="A463" s="8">
        <v>35</v>
      </c>
      <c r="B463" s="8">
        <v>9</v>
      </c>
      <c r="C463" s="8">
        <v>100</v>
      </c>
      <c r="D463" s="8">
        <v>1</v>
      </c>
      <c r="E463" s="8">
        <v>21.4</v>
      </c>
      <c r="F463" s="8">
        <v>7067</v>
      </c>
      <c r="G463" s="8">
        <v>11</v>
      </c>
      <c r="H463" s="8">
        <v>2</v>
      </c>
      <c r="I463" s="8">
        <v>16</v>
      </c>
      <c r="J463" s="8">
        <v>54837120</v>
      </c>
      <c r="K463" s="8">
        <v>1</v>
      </c>
      <c r="L463" s="8">
        <v>1</v>
      </c>
      <c r="M463" s="8">
        <v>1</v>
      </c>
      <c r="N463" s="8">
        <v>9</v>
      </c>
      <c r="O463" s="8">
        <v>10</v>
      </c>
      <c r="P463" s="8"/>
      <c r="R463">
        <f t="shared" si="70"/>
        <v>1</v>
      </c>
      <c r="S463">
        <f t="shared" si="71"/>
        <v>0</v>
      </c>
      <c r="T463">
        <f t="shared" si="72"/>
        <v>0</v>
      </c>
      <c r="U463">
        <f t="shared" si="73"/>
        <v>21.4</v>
      </c>
      <c r="V463" t="str">
        <f t="shared" si="74"/>
        <v/>
      </c>
      <c r="W463" t="str">
        <f t="shared" si="75"/>
        <v/>
      </c>
      <c r="X463">
        <f t="shared" si="76"/>
        <v>1</v>
      </c>
    </row>
    <row r="464" spans="1:24" x14ac:dyDescent="0.25">
      <c r="A464" s="8">
        <v>35</v>
      </c>
      <c r="B464" s="8">
        <v>10</v>
      </c>
      <c r="C464" s="8">
        <v>100</v>
      </c>
      <c r="D464" s="8">
        <v>1</v>
      </c>
      <c r="E464" s="8">
        <v>48.9</v>
      </c>
      <c r="F464" s="8">
        <v>3166</v>
      </c>
      <c r="G464" s="8">
        <v>11</v>
      </c>
      <c r="H464" s="8">
        <v>2</v>
      </c>
      <c r="I464" s="8">
        <v>16</v>
      </c>
      <c r="J464" s="8">
        <v>54837120</v>
      </c>
      <c r="K464" s="8">
        <v>1</v>
      </c>
      <c r="L464" s="8">
        <v>1</v>
      </c>
      <c r="M464" s="8">
        <v>1</v>
      </c>
      <c r="N464" s="8">
        <v>10</v>
      </c>
      <c r="O464" s="8">
        <v>10</v>
      </c>
      <c r="P464" s="8"/>
      <c r="R464">
        <f t="shared" si="70"/>
        <v>1</v>
      </c>
      <c r="S464">
        <f t="shared" si="71"/>
        <v>0</v>
      </c>
      <c r="T464">
        <f t="shared" si="72"/>
        <v>0</v>
      </c>
      <c r="U464">
        <f t="shared" si="73"/>
        <v>48.9</v>
      </c>
      <c r="V464" t="str">
        <f t="shared" si="74"/>
        <v/>
      </c>
      <c r="W464" t="str">
        <f t="shared" si="75"/>
        <v/>
      </c>
      <c r="X464">
        <f t="shared" si="76"/>
        <v>1</v>
      </c>
    </row>
    <row r="465" spans="1:24" x14ac:dyDescent="0.25">
      <c r="A465" s="8">
        <v>35</v>
      </c>
      <c r="B465" s="8">
        <v>11</v>
      </c>
      <c r="C465" s="8">
        <v>100</v>
      </c>
      <c r="D465" s="8">
        <v>1</v>
      </c>
      <c r="E465" s="8">
        <v>53</v>
      </c>
      <c r="F465" s="8">
        <v>3515</v>
      </c>
      <c r="G465" s="8">
        <v>11.1</v>
      </c>
      <c r="H465" s="8">
        <v>2</v>
      </c>
      <c r="I465" s="8">
        <v>17</v>
      </c>
      <c r="J465" s="8">
        <v>54837120</v>
      </c>
      <c r="K465" s="8">
        <v>1</v>
      </c>
      <c r="L465" s="8">
        <v>1</v>
      </c>
      <c r="M465" s="8">
        <v>1</v>
      </c>
      <c r="N465" s="8">
        <v>9</v>
      </c>
      <c r="O465" s="8">
        <v>10</v>
      </c>
      <c r="P465" s="8"/>
      <c r="R465">
        <f t="shared" si="70"/>
        <v>1</v>
      </c>
      <c r="S465">
        <f t="shared" si="71"/>
        <v>0</v>
      </c>
      <c r="T465">
        <f t="shared" si="72"/>
        <v>0</v>
      </c>
      <c r="U465">
        <f t="shared" si="73"/>
        <v>53</v>
      </c>
      <c r="V465" t="str">
        <f t="shared" si="74"/>
        <v/>
      </c>
      <c r="W465" t="str">
        <f t="shared" si="75"/>
        <v/>
      </c>
      <c r="X465">
        <f t="shared" si="76"/>
        <v>1</v>
      </c>
    </row>
    <row r="466" spans="1:24" x14ac:dyDescent="0.25">
      <c r="A466" s="8">
        <v>35</v>
      </c>
      <c r="B466" s="8">
        <v>12</v>
      </c>
      <c r="C466" s="8">
        <v>93</v>
      </c>
      <c r="D466" s="8">
        <v>1</v>
      </c>
      <c r="E466" s="8">
        <v>26.5</v>
      </c>
      <c r="F466" s="8">
        <v>7686</v>
      </c>
      <c r="G466" s="8">
        <v>9.1999999999999993</v>
      </c>
      <c r="H466" s="8">
        <v>2</v>
      </c>
      <c r="I466" s="8">
        <v>12</v>
      </c>
      <c r="J466" s="8">
        <v>54837120</v>
      </c>
      <c r="K466" s="8">
        <v>1</v>
      </c>
      <c r="L466" s="8">
        <v>1</v>
      </c>
      <c r="M466" s="8">
        <v>1</v>
      </c>
      <c r="N466" s="8">
        <v>9</v>
      </c>
      <c r="O466" s="8">
        <v>9</v>
      </c>
      <c r="P466" s="8"/>
      <c r="R466">
        <f t="shared" si="70"/>
        <v>1</v>
      </c>
      <c r="S466">
        <f t="shared" si="71"/>
        <v>0</v>
      </c>
      <c r="T466">
        <f t="shared" si="72"/>
        <v>0</v>
      </c>
      <c r="U466">
        <f t="shared" si="73"/>
        <v>26.5</v>
      </c>
      <c r="V466" t="str">
        <f t="shared" si="74"/>
        <v/>
      </c>
      <c r="W466" t="str">
        <f t="shared" si="75"/>
        <v/>
      </c>
      <c r="X466">
        <f t="shared" si="76"/>
        <v>1</v>
      </c>
    </row>
    <row r="467" spans="1:24" x14ac:dyDescent="0.25">
      <c r="A467" s="8">
        <v>35</v>
      </c>
      <c r="B467" s="8">
        <v>13</v>
      </c>
      <c r="C467" s="8">
        <v>100</v>
      </c>
      <c r="D467" s="8">
        <v>3</v>
      </c>
      <c r="E467" s="8">
        <v>1402.2</v>
      </c>
      <c r="F467" s="8">
        <v>2774</v>
      </c>
      <c r="G467" s="8">
        <v>10.1</v>
      </c>
      <c r="H467" s="8">
        <v>2</v>
      </c>
      <c r="I467" s="8">
        <v>13</v>
      </c>
      <c r="J467" s="8">
        <v>1535439360</v>
      </c>
      <c r="K467" s="8">
        <v>1</v>
      </c>
      <c r="L467" s="8">
        <v>1</v>
      </c>
      <c r="M467" s="8">
        <v>1</v>
      </c>
      <c r="N467" s="8">
        <v>8</v>
      </c>
      <c r="O467" s="8">
        <v>10</v>
      </c>
      <c r="P467" s="8"/>
      <c r="R467">
        <f t="shared" si="70"/>
        <v>0</v>
      </c>
      <c r="S467">
        <f t="shared" si="71"/>
        <v>0</v>
      </c>
      <c r="T467">
        <f t="shared" si="72"/>
        <v>1</v>
      </c>
      <c r="U467" t="str">
        <f t="shared" si="73"/>
        <v/>
      </c>
      <c r="V467" t="str">
        <f t="shared" si="74"/>
        <v/>
      </c>
      <c r="W467">
        <f t="shared" si="75"/>
        <v>1402.2</v>
      </c>
      <c r="X467">
        <f t="shared" si="76"/>
        <v>1</v>
      </c>
    </row>
    <row r="468" spans="1:24" x14ac:dyDescent="0.25">
      <c r="A468" s="8">
        <v>35</v>
      </c>
      <c r="B468" s="8">
        <v>14</v>
      </c>
      <c r="C468" s="8">
        <v>100</v>
      </c>
      <c r="D468" s="8">
        <v>1</v>
      </c>
      <c r="E468" s="8">
        <v>25.6</v>
      </c>
      <c r="F468" s="8">
        <v>6021</v>
      </c>
      <c r="G468" s="8">
        <v>10.199999999999999</v>
      </c>
      <c r="H468" s="8">
        <v>2</v>
      </c>
      <c r="I468" s="8">
        <v>14</v>
      </c>
      <c r="J468" s="8">
        <v>54837120</v>
      </c>
      <c r="K468" s="8">
        <v>1</v>
      </c>
      <c r="L468" s="8">
        <v>1</v>
      </c>
      <c r="M468" s="8">
        <v>1</v>
      </c>
      <c r="N468" s="8">
        <v>8</v>
      </c>
      <c r="O468" s="8">
        <v>10</v>
      </c>
      <c r="P468" s="8"/>
      <c r="R468">
        <f t="shared" si="70"/>
        <v>1</v>
      </c>
      <c r="S468">
        <f t="shared" si="71"/>
        <v>0</v>
      </c>
      <c r="T468">
        <f t="shared" si="72"/>
        <v>0</v>
      </c>
      <c r="U468">
        <f t="shared" si="73"/>
        <v>25.6</v>
      </c>
      <c r="V468" t="str">
        <f t="shared" si="74"/>
        <v/>
      </c>
      <c r="W468" t="str">
        <f t="shared" si="75"/>
        <v/>
      </c>
      <c r="X468">
        <f t="shared" si="76"/>
        <v>1</v>
      </c>
    </row>
    <row r="469" spans="1:24" x14ac:dyDescent="0.25">
      <c r="A469" s="8">
        <v>35</v>
      </c>
      <c r="B469" s="8">
        <v>15</v>
      </c>
      <c r="C469" s="8">
        <v>95</v>
      </c>
      <c r="D469" s="8">
        <v>1</v>
      </c>
      <c r="E469" s="8">
        <v>28.6</v>
      </c>
      <c r="F469" s="8">
        <v>3082</v>
      </c>
      <c r="G469" s="8">
        <v>10</v>
      </c>
      <c r="H469" s="8">
        <v>2</v>
      </c>
      <c r="I469" s="8">
        <v>15</v>
      </c>
      <c r="J469" s="8">
        <v>54837120</v>
      </c>
      <c r="K469" s="8">
        <v>2</v>
      </c>
      <c r="L469" s="8">
        <v>2</v>
      </c>
      <c r="M469" s="8">
        <v>1</v>
      </c>
      <c r="N469" s="8">
        <v>8</v>
      </c>
      <c r="O469" s="8">
        <v>9</v>
      </c>
      <c r="P469" s="8"/>
      <c r="R469">
        <f t="shared" si="70"/>
        <v>1</v>
      </c>
      <c r="S469">
        <f t="shared" si="71"/>
        <v>0</v>
      </c>
      <c r="T469">
        <f t="shared" si="72"/>
        <v>0</v>
      </c>
      <c r="U469">
        <f t="shared" si="73"/>
        <v>28.6</v>
      </c>
      <c r="V469" t="str">
        <f t="shared" si="74"/>
        <v/>
      </c>
      <c r="W469" t="str">
        <f t="shared" si="75"/>
        <v/>
      </c>
      <c r="X469">
        <f t="shared" si="76"/>
        <v>1</v>
      </c>
    </row>
    <row r="470" spans="1:24" x14ac:dyDescent="0.25">
      <c r="A470" s="8">
        <v>35</v>
      </c>
      <c r="B470" s="8">
        <v>16</v>
      </c>
      <c r="C470" s="8">
        <v>93</v>
      </c>
      <c r="D470" s="8">
        <v>1</v>
      </c>
      <c r="E470" s="8">
        <v>40.799999999999997</v>
      </c>
      <c r="F470" s="8">
        <v>1497</v>
      </c>
      <c r="G470" s="8">
        <v>8.1999999999999993</v>
      </c>
      <c r="H470" s="8">
        <v>2</v>
      </c>
      <c r="I470" s="8">
        <v>12</v>
      </c>
      <c r="J470" s="8">
        <v>54837120</v>
      </c>
      <c r="K470" s="8">
        <v>1</v>
      </c>
      <c r="L470" s="8">
        <v>1</v>
      </c>
      <c r="M470" s="8">
        <v>1</v>
      </c>
      <c r="N470" s="8">
        <v>8</v>
      </c>
      <c r="O470" s="8">
        <v>10</v>
      </c>
      <c r="P470" s="8"/>
      <c r="R470">
        <f t="shared" si="70"/>
        <v>1</v>
      </c>
      <c r="S470">
        <f t="shared" si="71"/>
        <v>0</v>
      </c>
      <c r="T470">
        <f t="shared" si="72"/>
        <v>0</v>
      </c>
      <c r="U470">
        <f t="shared" si="73"/>
        <v>40.799999999999997</v>
      </c>
      <c r="V470" t="str">
        <f t="shared" si="74"/>
        <v/>
      </c>
      <c r="W470" t="str">
        <f t="shared" si="75"/>
        <v/>
      </c>
      <c r="X470">
        <f t="shared" si="76"/>
        <v>1</v>
      </c>
    </row>
    <row r="471" spans="1:24" x14ac:dyDescent="0.25">
      <c r="A471" s="8">
        <v>35</v>
      </c>
      <c r="B471" s="8">
        <v>17</v>
      </c>
      <c r="C471" s="8">
        <v>100</v>
      </c>
      <c r="D471" s="8">
        <v>1</v>
      </c>
      <c r="E471" s="8">
        <v>51.2</v>
      </c>
      <c r="F471" s="8">
        <v>2545</v>
      </c>
      <c r="G471" s="8">
        <v>11.1</v>
      </c>
      <c r="H471" s="8">
        <v>2</v>
      </c>
      <c r="I471" s="8">
        <v>17</v>
      </c>
      <c r="J471" s="8">
        <v>54837120</v>
      </c>
      <c r="K471" s="8">
        <v>1</v>
      </c>
      <c r="L471" s="8">
        <v>1</v>
      </c>
      <c r="M471" s="8">
        <v>1</v>
      </c>
      <c r="N471" s="8">
        <v>9</v>
      </c>
      <c r="O471" s="8">
        <v>10</v>
      </c>
      <c r="P471" s="8"/>
      <c r="R471">
        <f t="shared" si="70"/>
        <v>1</v>
      </c>
      <c r="S471">
        <f t="shared" si="71"/>
        <v>0</v>
      </c>
      <c r="T471">
        <f t="shared" si="72"/>
        <v>0</v>
      </c>
      <c r="U471">
        <f t="shared" si="73"/>
        <v>51.2</v>
      </c>
      <c r="V471" t="str">
        <f t="shared" si="74"/>
        <v/>
      </c>
      <c r="W471" t="str">
        <f t="shared" si="75"/>
        <v/>
      </c>
      <c r="X471">
        <f t="shared" si="76"/>
        <v>1</v>
      </c>
    </row>
    <row r="472" spans="1:24" x14ac:dyDescent="0.25">
      <c r="A472" s="8">
        <v>35</v>
      </c>
      <c r="B472" s="8">
        <v>18</v>
      </c>
      <c r="C472" s="8">
        <v>100</v>
      </c>
      <c r="D472" s="8">
        <v>1</v>
      </c>
      <c r="E472" s="8">
        <v>19.3</v>
      </c>
      <c r="F472" s="8">
        <v>3572</v>
      </c>
      <c r="G472" s="8">
        <v>10.7</v>
      </c>
      <c r="H472" s="8">
        <v>2</v>
      </c>
      <c r="I472" s="8">
        <v>15</v>
      </c>
      <c r="J472" s="8">
        <v>54837120</v>
      </c>
      <c r="K472" s="8">
        <v>1</v>
      </c>
      <c r="L472" s="8">
        <v>1</v>
      </c>
      <c r="M472" s="8">
        <v>1</v>
      </c>
      <c r="N472" s="8">
        <v>9</v>
      </c>
      <c r="O472" s="8">
        <v>10</v>
      </c>
      <c r="P472" s="8"/>
      <c r="R472">
        <f t="shared" si="70"/>
        <v>1</v>
      </c>
      <c r="S472">
        <f t="shared" si="71"/>
        <v>0</v>
      </c>
      <c r="T472">
        <f t="shared" si="72"/>
        <v>0</v>
      </c>
      <c r="U472">
        <f t="shared" si="73"/>
        <v>19.3</v>
      </c>
      <c r="V472" t="str">
        <f t="shared" si="74"/>
        <v/>
      </c>
      <c r="W472" t="str">
        <f t="shared" si="75"/>
        <v/>
      </c>
      <c r="X472">
        <f t="shared" si="76"/>
        <v>1</v>
      </c>
    </row>
    <row r="473" spans="1:24" x14ac:dyDescent="0.25">
      <c r="A473" s="8">
        <v>35</v>
      </c>
      <c r="B473" s="8">
        <v>19</v>
      </c>
      <c r="C473" s="8">
        <v>100</v>
      </c>
      <c r="D473" s="8">
        <v>1</v>
      </c>
      <c r="E473" s="8">
        <v>39.9</v>
      </c>
      <c r="F473" s="8">
        <v>13809</v>
      </c>
      <c r="G473" s="8">
        <v>11.3</v>
      </c>
      <c r="H473" s="8">
        <v>2</v>
      </c>
      <c r="I473" s="8">
        <v>15</v>
      </c>
      <c r="J473" s="8">
        <v>54837120</v>
      </c>
      <c r="K473" s="8">
        <v>1</v>
      </c>
      <c r="L473" s="8">
        <v>1</v>
      </c>
      <c r="M473" s="8">
        <v>1</v>
      </c>
      <c r="N473" s="8">
        <v>9</v>
      </c>
      <c r="O473" s="8">
        <v>10</v>
      </c>
      <c r="P473" s="8"/>
      <c r="R473">
        <f t="shared" si="70"/>
        <v>1</v>
      </c>
      <c r="S473">
        <f t="shared" si="71"/>
        <v>0</v>
      </c>
      <c r="T473">
        <f t="shared" si="72"/>
        <v>0</v>
      </c>
      <c r="U473">
        <f t="shared" si="73"/>
        <v>39.9</v>
      </c>
      <c r="V473" t="str">
        <f t="shared" si="74"/>
        <v/>
      </c>
      <c r="W473" t="str">
        <f t="shared" si="75"/>
        <v/>
      </c>
      <c r="X473">
        <f t="shared" si="76"/>
        <v>1</v>
      </c>
    </row>
    <row r="474" spans="1:24" x14ac:dyDescent="0.25">
      <c r="A474" s="8">
        <v>35</v>
      </c>
      <c r="B474" s="8">
        <v>20</v>
      </c>
      <c r="C474" s="8">
        <v>93</v>
      </c>
      <c r="D474" s="8">
        <v>1</v>
      </c>
      <c r="E474" s="8">
        <v>24.4</v>
      </c>
      <c r="F474" s="8">
        <v>688</v>
      </c>
      <c r="G474" s="8">
        <v>6.7</v>
      </c>
      <c r="H474" s="8">
        <v>2</v>
      </c>
      <c r="I474" s="8">
        <v>9</v>
      </c>
      <c r="J474" s="8">
        <v>54837120</v>
      </c>
      <c r="K474" s="8">
        <v>3</v>
      </c>
      <c r="L474" s="8">
        <v>3</v>
      </c>
      <c r="M474" s="8">
        <v>2</v>
      </c>
      <c r="N474" s="8">
        <v>9</v>
      </c>
      <c r="O474" s="8">
        <v>10</v>
      </c>
      <c r="P474" s="8"/>
      <c r="R474">
        <f t="shared" si="70"/>
        <v>1</v>
      </c>
      <c r="S474">
        <f t="shared" si="71"/>
        <v>0</v>
      </c>
      <c r="T474">
        <f t="shared" si="72"/>
        <v>0</v>
      </c>
      <c r="U474">
        <f t="shared" si="73"/>
        <v>24.4</v>
      </c>
      <c r="V474" t="str">
        <f t="shared" si="74"/>
        <v/>
      </c>
      <c r="W474" t="str">
        <f t="shared" si="75"/>
        <v/>
      </c>
      <c r="X474">
        <f t="shared" si="76"/>
        <v>1</v>
      </c>
    </row>
    <row r="475" spans="1:24" x14ac:dyDescent="0.25">
      <c r="A475" s="8">
        <v>35</v>
      </c>
      <c r="B475" s="8">
        <v>21</v>
      </c>
      <c r="C475" s="8">
        <v>100</v>
      </c>
      <c r="D475" s="8">
        <v>1</v>
      </c>
      <c r="E475" s="8">
        <v>50.1</v>
      </c>
      <c r="F475" s="8">
        <v>3139</v>
      </c>
      <c r="G475" s="8">
        <v>9.9</v>
      </c>
      <c r="H475" s="8">
        <v>2</v>
      </c>
      <c r="I475" s="8">
        <v>14</v>
      </c>
      <c r="J475" s="8">
        <v>54837120</v>
      </c>
      <c r="K475" s="8">
        <v>2</v>
      </c>
      <c r="L475" s="8">
        <v>2</v>
      </c>
      <c r="M475" s="8">
        <v>2</v>
      </c>
      <c r="N475" s="8">
        <v>8</v>
      </c>
      <c r="O475" s="8">
        <v>10</v>
      </c>
      <c r="P475" s="8"/>
      <c r="R475">
        <f t="shared" si="70"/>
        <v>1</v>
      </c>
      <c r="S475">
        <f t="shared" si="71"/>
        <v>0</v>
      </c>
      <c r="T475">
        <f t="shared" si="72"/>
        <v>0</v>
      </c>
      <c r="U475">
        <f t="shared" si="73"/>
        <v>50.1</v>
      </c>
      <c r="V475" t="str">
        <f t="shared" si="74"/>
        <v/>
      </c>
      <c r="W475" t="str">
        <f t="shared" si="75"/>
        <v/>
      </c>
      <c r="X475">
        <f t="shared" si="76"/>
        <v>1</v>
      </c>
    </row>
    <row r="476" spans="1:24" x14ac:dyDescent="0.25">
      <c r="A476" s="8">
        <v>35</v>
      </c>
      <c r="B476" s="8">
        <v>22</v>
      </c>
      <c r="C476" s="8">
        <v>93</v>
      </c>
      <c r="D476" s="8">
        <v>1</v>
      </c>
      <c r="E476" s="8">
        <v>28.5</v>
      </c>
      <c r="F476" s="8">
        <v>7297</v>
      </c>
      <c r="G476" s="8">
        <v>9.5</v>
      </c>
      <c r="H476" s="8">
        <v>2</v>
      </c>
      <c r="I476" s="8">
        <v>14</v>
      </c>
      <c r="J476" s="8">
        <v>54837120</v>
      </c>
      <c r="K476" s="8">
        <v>1</v>
      </c>
      <c r="L476" s="8">
        <v>1</v>
      </c>
      <c r="M476" s="8">
        <v>1</v>
      </c>
      <c r="N476" s="8">
        <v>9</v>
      </c>
      <c r="O476" s="8">
        <v>9</v>
      </c>
      <c r="P476" s="8"/>
      <c r="R476">
        <f t="shared" si="70"/>
        <v>1</v>
      </c>
      <c r="S476">
        <f t="shared" si="71"/>
        <v>0</v>
      </c>
      <c r="T476">
        <f t="shared" si="72"/>
        <v>0</v>
      </c>
      <c r="U476">
        <f t="shared" si="73"/>
        <v>28.5</v>
      </c>
      <c r="V476" t="str">
        <f t="shared" si="74"/>
        <v/>
      </c>
      <c r="W476" t="str">
        <f t="shared" si="75"/>
        <v/>
      </c>
      <c r="X476">
        <f t="shared" si="76"/>
        <v>1</v>
      </c>
    </row>
    <row r="477" spans="1:24" x14ac:dyDescent="0.25">
      <c r="A477" s="8">
        <v>35</v>
      </c>
      <c r="B477" s="8">
        <v>23</v>
      </c>
      <c r="C477" s="8">
        <v>100</v>
      </c>
      <c r="D477" s="8">
        <v>1</v>
      </c>
      <c r="E477" s="8">
        <v>65.5</v>
      </c>
      <c r="F477" s="8">
        <v>9114</v>
      </c>
      <c r="G477" s="8">
        <v>13.7</v>
      </c>
      <c r="H477" s="8">
        <v>2</v>
      </c>
      <c r="I477" s="8">
        <v>19</v>
      </c>
      <c r="J477" s="8">
        <v>54837120</v>
      </c>
      <c r="K477" s="8">
        <v>1</v>
      </c>
      <c r="L477" s="8">
        <v>1</v>
      </c>
      <c r="M477" s="8">
        <v>1</v>
      </c>
      <c r="N477" s="8">
        <v>10</v>
      </c>
      <c r="O477" s="8">
        <v>10</v>
      </c>
      <c r="P477" s="8"/>
      <c r="R477">
        <f t="shared" si="70"/>
        <v>1</v>
      </c>
      <c r="S477">
        <f t="shared" si="71"/>
        <v>0</v>
      </c>
      <c r="T477">
        <f t="shared" si="72"/>
        <v>0</v>
      </c>
      <c r="U477">
        <f t="shared" si="73"/>
        <v>65.5</v>
      </c>
      <c r="V477" t="str">
        <f t="shared" si="74"/>
        <v/>
      </c>
      <c r="W477" t="str">
        <f t="shared" si="75"/>
        <v/>
      </c>
      <c r="X477">
        <f t="shared" si="76"/>
        <v>1</v>
      </c>
    </row>
    <row r="478" spans="1:24" x14ac:dyDescent="0.25">
      <c r="A478" s="8">
        <v>35</v>
      </c>
      <c r="B478" s="8">
        <v>24</v>
      </c>
      <c r="C478" s="8">
        <v>100</v>
      </c>
      <c r="D478" s="8">
        <v>1</v>
      </c>
      <c r="E478" s="8">
        <v>47.8</v>
      </c>
      <c r="F478" s="8">
        <v>1853</v>
      </c>
      <c r="G478" s="8">
        <v>10</v>
      </c>
      <c r="H478" s="8">
        <v>2</v>
      </c>
      <c r="I478" s="8">
        <v>14</v>
      </c>
      <c r="J478" s="8">
        <v>54837120</v>
      </c>
      <c r="K478" s="8">
        <v>1</v>
      </c>
      <c r="L478" s="8">
        <v>1</v>
      </c>
      <c r="M478" s="8">
        <v>1</v>
      </c>
      <c r="N478" s="8">
        <v>10</v>
      </c>
      <c r="O478" s="8">
        <v>10</v>
      </c>
      <c r="P478" s="8"/>
      <c r="R478">
        <f t="shared" si="70"/>
        <v>1</v>
      </c>
      <c r="S478">
        <f t="shared" si="71"/>
        <v>0</v>
      </c>
      <c r="T478">
        <f t="shared" si="72"/>
        <v>0</v>
      </c>
      <c r="U478">
        <f t="shared" si="73"/>
        <v>47.8</v>
      </c>
      <c r="V478" t="str">
        <f t="shared" si="74"/>
        <v/>
      </c>
      <c r="W478" t="str">
        <f t="shared" si="75"/>
        <v/>
      </c>
      <c r="X478">
        <f t="shared" si="76"/>
        <v>1</v>
      </c>
    </row>
    <row r="479" spans="1:24" x14ac:dyDescent="0.25">
      <c r="A479" s="8">
        <v>35</v>
      </c>
      <c r="B479" s="8">
        <v>25</v>
      </c>
      <c r="C479" s="8">
        <v>100</v>
      </c>
      <c r="D479" s="8">
        <v>1</v>
      </c>
      <c r="E479" s="8">
        <v>48</v>
      </c>
      <c r="F479" s="8">
        <v>19535</v>
      </c>
      <c r="G479" s="8">
        <v>12</v>
      </c>
      <c r="H479" s="8">
        <v>3</v>
      </c>
      <c r="I479" s="8">
        <v>16</v>
      </c>
      <c r="J479" s="8">
        <v>54837120</v>
      </c>
      <c r="K479" s="8">
        <v>1</v>
      </c>
      <c r="L479" s="8">
        <v>1</v>
      </c>
      <c r="M479" s="8">
        <v>1</v>
      </c>
      <c r="N479" s="8">
        <v>9</v>
      </c>
      <c r="O479" s="8">
        <v>10</v>
      </c>
      <c r="P479" s="8"/>
      <c r="R479">
        <f t="shared" ref="R479:R483" si="77">IF(D479=1,1,0)</f>
        <v>1</v>
      </c>
      <c r="S479">
        <f t="shared" ref="S479:S483" si="78">IF(D479=2,1,0)</f>
        <v>0</v>
      </c>
      <c r="T479">
        <f t="shared" ref="T479:T483" si="79">IF(D479=3,1,0)</f>
        <v>0</v>
      </c>
      <c r="U479">
        <f t="shared" si="73"/>
        <v>48</v>
      </c>
      <c r="V479" t="str">
        <f t="shared" si="74"/>
        <v/>
      </c>
      <c r="W479" t="str">
        <f t="shared" si="75"/>
        <v/>
      </c>
      <c r="X479">
        <f t="shared" si="76"/>
        <v>1</v>
      </c>
    </row>
    <row r="480" spans="1:24" x14ac:dyDescent="0.25">
      <c r="A480" s="8">
        <v>35</v>
      </c>
      <c r="B480" s="8">
        <v>26</v>
      </c>
      <c r="C480" s="8">
        <v>56</v>
      </c>
      <c r="D480" s="8">
        <v>1</v>
      </c>
      <c r="E480" s="8">
        <v>47.1</v>
      </c>
      <c r="F480" s="8">
        <v>12918</v>
      </c>
      <c r="G480" s="8">
        <v>12.7</v>
      </c>
      <c r="H480" s="8">
        <v>2</v>
      </c>
      <c r="I480" s="8">
        <v>19</v>
      </c>
      <c r="J480" s="8">
        <v>54837120</v>
      </c>
      <c r="K480" s="8">
        <v>1</v>
      </c>
      <c r="L480" s="8">
        <v>1</v>
      </c>
      <c r="M480" s="8">
        <v>1</v>
      </c>
      <c r="N480" s="8">
        <v>9</v>
      </c>
      <c r="O480" s="8">
        <v>10</v>
      </c>
      <c r="P480" s="8"/>
      <c r="R480">
        <f t="shared" si="77"/>
        <v>1</v>
      </c>
      <c r="S480">
        <f t="shared" si="78"/>
        <v>0</v>
      </c>
      <c r="T480">
        <f t="shared" si="79"/>
        <v>0</v>
      </c>
      <c r="U480">
        <f t="shared" si="73"/>
        <v>47.1</v>
      </c>
      <c r="V480" t="str">
        <f t="shared" si="74"/>
        <v/>
      </c>
      <c r="W480" t="str">
        <f t="shared" si="75"/>
        <v/>
      </c>
      <c r="X480">
        <f t="shared" si="76"/>
        <v>1</v>
      </c>
    </row>
    <row r="481" spans="1:24" x14ac:dyDescent="0.25">
      <c r="A481" s="8">
        <v>35</v>
      </c>
      <c r="B481" s="8">
        <v>27</v>
      </c>
      <c r="C481" s="8">
        <v>88</v>
      </c>
      <c r="D481" s="8">
        <v>1</v>
      </c>
      <c r="E481" s="8">
        <v>21.5</v>
      </c>
      <c r="F481" s="8">
        <v>2077</v>
      </c>
      <c r="G481" s="8">
        <v>10.1</v>
      </c>
      <c r="H481" s="8">
        <v>2</v>
      </c>
      <c r="I481" s="8">
        <v>15</v>
      </c>
      <c r="J481" s="8">
        <v>54837120</v>
      </c>
      <c r="K481" s="8">
        <v>2</v>
      </c>
      <c r="L481" s="8">
        <v>2</v>
      </c>
      <c r="M481" s="8">
        <v>2</v>
      </c>
      <c r="N481" s="8">
        <v>9</v>
      </c>
      <c r="O481" s="8">
        <v>9</v>
      </c>
      <c r="P481" s="8"/>
      <c r="R481">
        <f t="shared" si="77"/>
        <v>1</v>
      </c>
      <c r="S481">
        <f t="shared" si="78"/>
        <v>0</v>
      </c>
      <c r="T481">
        <f t="shared" si="79"/>
        <v>0</v>
      </c>
      <c r="U481">
        <f t="shared" si="73"/>
        <v>21.5</v>
      </c>
      <c r="V481" t="str">
        <f t="shared" si="74"/>
        <v/>
      </c>
      <c r="W481" t="str">
        <f t="shared" si="75"/>
        <v/>
      </c>
      <c r="X481">
        <f t="shared" si="76"/>
        <v>1</v>
      </c>
    </row>
    <row r="482" spans="1:24" x14ac:dyDescent="0.25">
      <c r="A482" s="8">
        <v>35</v>
      </c>
      <c r="B482" s="8">
        <v>28</v>
      </c>
      <c r="C482" s="8">
        <v>100</v>
      </c>
      <c r="D482" s="8">
        <v>2</v>
      </c>
      <c r="E482" s="8">
        <v>69.5</v>
      </c>
      <c r="F482" s="8">
        <v>2122</v>
      </c>
      <c r="G482" s="8">
        <v>8.8000000000000007</v>
      </c>
      <c r="H482" s="8">
        <v>2</v>
      </c>
      <c r="I482" s="8">
        <v>13</v>
      </c>
      <c r="J482" s="8">
        <v>109674240</v>
      </c>
      <c r="K482" s="8">
        <v>1</v>
      </c>
      <c r="L482" s="8">
        <v>1</v>
      </c>
      <c r="M482" s="8">
        <v>1</v>
      </c>
      <c r="N482" s="8">
        <v>9</v>
      </c>
      <c r="O482" s="8">
        <v>10</v>
      </c>
      <c r="P482" s="8"/>
      <c r="R482">
        <f t="shared" si="77"/>
        <v>0</v>
      </c>
      <c r="S482">
        <f t="shared" si="78"/>
        <v>1</v>
      </c>
      <c r="T482">
        <f t="shared" si="79"/>
        <v>0</v>
      </c>
      <c r="U482" t="str">
        <f t="shared" si="73"/>
        <v/>
      </c>
      <c r="V482">
        <f t="shared" si="74"/>
        <v>69.5</v>
      </c>
      <c r="W482" t="str">
        <f t="shared" si="75"/>
        <v/>
      </c>
      <c r="X482">
        <f t="shared" si="76"/>
        <v>1</v>
      </c>
    </row>
    <row r="483" spans="1:24" x14ac:dyDescent="0.25">
      <c r="A483" s="8">
        <v>35</v>
      </c>
      <c r="B483" s="8">
        <v>29</v>
      </c>
      <c r="C483" s="8">
        <v>100</v>
      </c>
      <c r="D483" s="8">
        <v>1</v>
      </c>
      <c r="E483" s="8">
        <v>69.400000000000006</v>
      </c>
      <c r="F483" s="8">
        <v>4682</v>
      </c>
      <c r="G483" s="8">
        <v>14.1</v>
      </c>
      <c r="H483" s="8">
        <v>2</v>
      </c>
      <c r="I483" s="8">
        <v>18</v>
      </c>
      <c r="J483" s="8">
        <v>54837120</v>
      </c>
      <c r="K483" s="8">
        <v>1</v>
      </c>
      <c r="L483" s="8">
        <v>1</v>
      </c>
      <c r="M483" s="8">
        <v>1</v>
      </c>
      <c r="N483" s="8">
        <v>9</v>
      </c>
      <c r="O483" s="8">
        <v>10</v>
      </c>
      <c r="P483" s="8"/>
      <c r="R483">
        <f t="shared" si="77"/>
        <v>1</v>
      </c>
      <c r="S483">
        <f t="shared" si="78"/>
        <v>0</v>
      </c>
      <c r="T483">
        <f t="shared" si="79"/>
        <v>0</v>
      </c>
      <c r="U483">
        <f t="shared" si="73"/>
        <v>69.400000000000006</v>
      </c>
      <c r="V483" t="str">
        <f t="shared" si="74"/>
        <v/>
      </c>
      <c r="W483" t="str">
        <f t="shared" si="75"/>
        <v/>
      </c>
      <c r="X483">
        <f t="shared" si="76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Charts</vt:lpstr>
      </vt:variant>
      <vt:variant>
        <vt:i4>6</vt:i4>
      </vt:variant>
    </vt:vector>
  </HeadingPairs>
  <TitlesOfParts>
    <vt:vector size="8" baseType="lpstr">
      <vt:lpstr>cribs</vt:lpstr>
      <vt:lpstr>Bombe data</vt:lpstr>
      <vt:lpstr>Crib Chart 2</vt:lpstr>
      <vt:lpstr>Crib chart</vt:lpstr>
      <vt:lpstr>Bombe Time</vt:lpstr>
      <vt:lpstr>Bombe Overlap</vt:lpstr>
      <vt:lpstr>Candidates</vt:lpstr>
      <vt:lpstr>Passes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jorgen</dc:creator>
  <cp:lastModifiedBy>jorgen</cp:lastModifiedBy>
  <dcterms:created xsi:type="dcterms:W3CDTF">2025-12-08T18:31:32Z</dcterms:created>
  <dcterms:modified xsi:type="dcterms:W3CDTF">2025-12-16T19:03:57Z</dcterms:modified>
</cp:coreProperties>
</file>